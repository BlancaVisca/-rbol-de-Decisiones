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ep\Downloads\"/>
    </mc:Choice>
  </mc:AlternateContent>
  <xr:revisionPtr revIDLastSave="0" documentId="13_ncr:1_{1D3249B7-FF6D-4416-962C-BF28714C4E18}" xr6:coauthVersionLast="47" xr6:coauthVersionMax="47" xr10:uidLastSave="{00000000-0000-0000-0000-000000000000}"/>
  <bookViews>
    <workbookView xWindow="-108" yWindow="-108" windowWidth="23256" windowHeight="12456" xr2:uid="{1244C4D8-EDB3-425E-88A7-EC289A1E015D}"/>
  </bookViews>
  <sheets>
    <sheet name="Hoja1" sheetId="1" r:id="rId1"/>
    <sheet name="TRAIN" sheetId="9" r:id="rId2"/>
    <sheet name="TEST" sheetId="13" r:id="rId3"/>
    <sheet name="NEW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4" i="1" l="1" a="1"/>
  <c r="H234" i="1" s="1"/>
  <c r="H235" i="1" a="1"/>
  <c r="H235" i="1" s="1"/>
  <c r="H236" i="1" a="1"/>
  <c r="H236" i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/>
  <c r="H233" i="1" a="1"/>
  <c r="H233" i="1" s="1"/>
  <c r="A233" i="1" a="1"/>
  <c r="A233" i="1" s="1"/>
  <c r="A234" i="1" a="1"/>
  <c r="A234" i="1" s="1"/>
  <c r="A235" i="1" a="1"/>
  <c r="A235" i="1" s="1"/>
  <c r="A236" i="1" a="1"/>
  <c r="A236" i="1" s="1"/>
  <c r="A237" i="1" a="1"/>
  <c r="A237" i="1"/>
  <c r="A238" i="1" a="1"/>
  <c r="A238" i="1"/>
  <c r="A239" i="1" a="1"/>
  <c r="A239" i="1"/>
  <c r="A240" i="1" a="1"/>
  <c r="A240" i="1" s="1"/>
  <c r="A241" i="1" a="1"/>
  <c r="A241" i="1" s="1"/>
  <c r="A242" i="1" a="1"/>
  <c r="A242" i="1" s="1"/>
  <c r="A243" i="1" a="1"/>
  <c r="A243" i="1" s="1"/>
  <c r="A244" i="1" a="1"/>
  <c r="A244" i="1"/>
  <c r="A245" i="1" a="1"/>
  <c r="A245" i="1"/>
  <c r="A246" i="1" a="1"/>
  <c r="A246" i="1" s="1"/>
  <c r="A247" i="1" a="1"/>
  <c r="A247" i="1" s="1"/>
  <c r="A248" i="1" a="1"/>
  <c r="A248" i="1" s="1"/>
  <c r="A249" i="1" a="1"/>
  <c r="A249" i="1"/>
  <c r="A250" i="1" a="1"/>
  <c r="A250" i="1"/>
  <c r="A251" i="1" a="1"/>
  <c r="A251" i="1"/>
  <c r="A252" i="1" a="1"/>
  <c r="A252" i="1" s="1"/>
  <c r="A253" i="1" a="1"/>
  <c r="A253" i="1" s="1"/>
  <c r="A254" i="1" a="1"/>
  <c r="A254" i="1" s="1"/>
  <c r="A255" i="1" a="1"/>
  <c r="A255" i="1" s="1"/>
  <c r="A256" i="1" a="1"/>
  <c r="A256" i="1"/>
  <c r="A257" i="1" a="1"/>
  <c r="A257" i="1"/>
  <c r="A258" i="1" a="1"/>
  <c r="A258" i="1" s="1"/>
  <c r="A259" i="1" a="1"/>
  <c r="A259" i="1" s="1"/>
  <c r="A260" i="1" a="1"/>
  <c r="A260" i="1" s="1"/>
  <c r="A261" i="1" a="1"/>
  <c r="A261" i="1" s="1"/>
  <c r="A262" i="1" a="1"/>
  <c r="A262" i="1"/>
  <c r="A263" i="1" a="1"/>
  <c r="A263" i="1"/>
  <c r="A264" i="1" a="1"/>
  <c r="A264" i="1" s="1"/>
  <c r="A265" i="1" a="1"/>
  <c r="A265" i="1" s="1"/>
  <c r="A266" i="1" a="1"/>
  <c r="A266" i="1" s="1"/>
  <c r="A267" i="1" a="1"/>
  <c r="A267" i="1" s="1"/>
  <c r="A268" i="1" a="1"/>
  <c r="A268" i="1"/>
  <c r="A269" i="1" a="1"/>
  <c r="A269" i="1"/>
  <c r="A270" i="1" a="1"/>
  <c r="A270" i="1" s="1"/>
  <c r="A271" i="1" a="1"/>
  <c r="A271" i="1" s="1"/>
  <c r="A272" i="1" a="1"/>
  <c r="A272" i="1" s="1"/>
  <c r="A273" i="1" a="1"/>
  <c r="A273" i="1" s="1"/>
  <c r="A274" i="1" a="1"/>
  <c r="A274" i="1"/>
  <c r="A275" i="1" a="1"/>
  <c r="A275" i="1"/>
  <c r="A276" i="1" a="1"/>
  <c r="A276" i="1" s="1"/>
  <c r="A277" i="1" a="1"/>
  <c r="A277" i="1" s="1"/>
  <c r="A278" i="1" a="1"/>
  <c r="A278" i="1" s="1"/>
  <c r="A279" i="1" a="1"/>
  <c r="A279" i="1" s="1"/>
  <c r="A280" i="1" a="1"/>
  <c r="A280" i="1"/>
  <c r="A281" i="1" a="1"/>
  <c r="A281" i="1"/>
  <c r="A282" i="1" a="1"/>
  <c r="A282" i="1" s="1"/>
  <c r="A283" i="1" a="1"/>
  <c r="A283" i="1" s="1"/>
  <c r="A284" i="1" a="1"/>
  <c r="A284" i="1" s="1"/>
  <c r="A285" i="1" a="1"/>
  <c r="A285" i="1" s="1"/>
  <c r="A286" i="1" a="1"/>
  <c r="A286" i="1"/>
  <c r="A287" i="1" a="1"/>
  <c r="A287" i="1"/>
  <c r="A288" i="1" a="1"/>
  <c r="A288" i="1" s="1"/>
  <c r="A289" i="1" a="1"/>
  <c r="A289" i="1" s="1"/>
  <c r="A290" i="1" a="1"/>
  <c r="A290" i="1" s="1"/>
  <c r="A291" i="1" a="1"/>
  <c r="A291" i="1" s="1"/>
  <c r="A292" i="1" a="1"/>
  <c r="A292" i="1"/>
  <c r="A293" i="1" a="1"/>
  <c r="A293" i="1"/>
  <c r="A294" i="1" a="1"/>
  <c r="A294" i="1" s="1"/>
  <c r="A295" i="1" a="1"/>
  <c r="A295" i="1" s="1"/>
  <c r="A296" i="1" a="1"/>
  <c r="A296" i="1" s="1"/>
  <c r="A297" i="1" a="1"/>
  <c r="A297" i="1" s="1"/>
  <c r="A298" i="1" a="1"/>
  <c r="A298" i="1"/>
  <c r="A299" i="1" a="1"/>
  <c r="A299" i="1"/>
  <c r="A300" i="1" a="1"/>
  <c r="A300" i="1" s="1"/>
  <c r="A301" i="1" a="1"/>
  <c r="A301" i="1" s="1"/>
  <c r="A302" i="1" a="1"/>
  <c r="A302" i="1" s="1"/>
  <c r="A303" i="1" a="1"/>
  <c r="A303" i="1" s="1"/>
  <c r="A304" i="1" a="1"/>
  <c r="A304" i="1"/>
  <c r="A305" i="1" a="1"/>
  <c r="A305" i="1"/>
  <c r="A306" i="1" a="1"/>
  <c r="A306" i="1" s="1"/>
  <c r="A307" i="1" a="1"/>
  <c r="A307" i="1" s="1"/>
  <c r="A308" i="1" a="1"/>
  <c r="A308" i="1" s="1"/>
  <c r="A309" i="1" a="1"/>
  <c r="A309" i="1" s="1"/>
  <c r="A310" i="1" a="1"/>
  <c r="A310" i="1"/>
  <c r="A311" i="1" a="1"/>
  <c r="A311" i="1" s="1"/>
  <c r="A312" i="1" a="1"/>
  <c r="A312" i="1" s="1"/>
  <c r="A313" i="1" a="1"/>
  <c r="A313" i="1" s="1"/>
  <c r="A314" i="1" a="1"/>
  <c r="A314" i="1" s="1"/>
  <c r="A315" i="1" a="1"/>
  <c r="A315" i="1" s="1"/>
  <c r="A316" i="1" a="1"/>
  <c r="A316" i="1"/>
  <c r="A317" i="1" a="1"/>
  <c r="A317" i="1" s="1"/>
  <c r="A318" i="1" a="1"/>
  <c r="A318" i="1" s="1"/>
  <c r="A319" i="1" a="1"/>
  <c r="A319" i="1" s="1"/>
  <c r="A320" i="1" a="1"/>
  <c r="A320" i="1" s="1"/>
  <c r="A321" i="1" a="1"/>
  <c r="A321" i="1" s="1"/>
  <c r="A322" i="1" a="1"/>
  <c r="A322" i="1" s="1"/>
  <c r="A323" i="1" a="1"/>
  <c r="A323" i="1"/>
  <c r="A324" i="1" a="1"/>
  <c r="A324" i="1" s="1"/>
  <c r="A325" i="1" a="1"/>
  <c r="A325" i="1" s="1"/>
  <c r="A326" i="1" a="1"/>
  <c r="A326" i="1" s="1"/>
  <c r="A327" i="1" a="1"/>
  <c r="A327" i="1" s="1"/>
  <c r="A328" i="1" a="1"/>
  <c r="A328" i="1" s="1"/>
  <c r="A329" i="1" a="1"/>
  <c r="A329" i="1" s="1"/>
  <c r="A330" i="1" a="1"/>
  <c r="A330" i="1" s="1"/>
  <c r="A331" i="1" a="1"/>
  <c r="A331" i="1" s="1"/>
  <c r="A332" i="1" a="1"/>
  <c r="A332" i="1" s="1"/>
  <c r="T210" i="1"/>
  <c r="T209" i="1"/>
  <c r="Q221" i="1"/>
  <c r="Q222" i="1"/>
  <c r="Q216" i="1"/>
  <c r="Q215" i="1"/>
  <c r="Q209" i="1"/>
  <c r="Q210" i="1"/>
  <c r="N221" i="1"/>
  <c r="N222" i="1"/>
  <c r="N216" i="1"/>
  <c r="N215" i="1"/>
  <c r="N210" i="1"/>
  <c r="N209" i="1"/>
  <c r="K221" i="1"/>
  <c r="K222" i="1"/>
  <c r="K216" i="1"/>
  <c r="K215" i="1"/>
  <c r="K210" i="1"/>
  <c r="K209" i="1"/>
  <c r="H221" i="1"/>
  <c r="H222" i="1"/>
  <c r="H216" i="1"/>
  <c r="H215" i="1"/>
  <c r="H210" i="1"/>
  <c r="H209" i="1"/>
  <c r="E222" i="1"/>
  <c r="E221" i="1"/>
  <c r="E216" i="1"/>
  <c r="E215" i="1"/>
  <c r="E210" i="1"/>
  <c r="E209" i="1"/>
  <c r="B222" i="1"/>
  <c r="B221" i="1"/>
  <c r="B220" i="1"/>
  <c r="B219" i="1"/>
  <c r="B218" i="1"/>
  <c r="B217" i="1"/>
  <c r="B226" i="1"/>
  <c r="B225" i="1"/>
  <c r="C198" i="1"/>
  <c r="C197" i="1"/>
  <c r="C196" i="1"/>
  <c r="C195" i="1"/>
  <c r="C194" i="1"/>
  <c r="C193" i="1"/>
  <c r="B198" i="1"/>
  <c r="B197" i="1"/>
  <c r="B196" i="1"/>
  <c r="B195" i="1"/>
  <c r="B194" i="1"/>
  <c r="B193" i="1"/>
  <c r="B202" i="1"/>
  <c r="B201" i="1"/>
  <c r="D172" i="1"/>
  <c r="D171" i="1"/>
  <c r="D170" i="1"/>
  <c r="D169" i="1"/>
  <c r="D168" i="1"/>
  <c r="D167" i="1"/>
  <c r="C172" i="1"/>
  <c r="C171" i="1"/>
  <c r="C170" i="1"/>
  <c r="C169" i="1"/>
  <c r="C168" i="1"/>
  <c r="C167" i="1"/>
  <c r="B172" i="1"/>
  <c r="B171" i="1"/>
  <c r="B170" i="1"/>
  <c r="B169" i="1"/>
  <c r="B168" i="1"/>
  <c r="B167" i="1"/>
  <c r="B160" i="1"/>
  <c r="B134" i="1"/>
  <c r="B176" i="1"/>
  <c r="B175" i="1"/>
  <c r="C160" i="1"/>
  <c r="E146" i="1"/>
  <c r="E145" i="1"/>
  <c r="E144" i="1"/>
  <c r="E143" i="1"/>
  <c r="E142" i="1"/>
  <c r="E141" i="1"/>
  <c r="D146" i="1"/>
  <c r="D145" i="1"/>
  <c r="D144" i="1"/>
  <c r="D143" i="1"/>
  <c r="D142" i="1"/>
  <c r="D141" i="1"/>
  <c r="C146" i="1"/>
  <c r="C145" i="1"/>
  <c r="C144" i="1"/>
  <c r="C143" i="1"/>
  <c r="C142" i="1"/>
  <c r="C141" i="1"/>
  <c r="B146" i="1"/>
  <c r="B145" i="1"/>
  <c r="B144" i="1"/>
  <c r="B143" i="1"/>
  <c r="B142" i="1"/>
  <c r="B141" i="1"/>
  <c r="B150" i="1"/>
  <c r="B149" i="1"/>
  <c r="B115" i="1"/>
  <c r="F120" i="1"/>
  <c r="F119" i="1"/>
  <c r="F118" i="1"/>
  <c r="F117" i="1"/>
  <c r="F116" i="1"/>
  <c r="F115" i="1"/>
  <c r="E120" i="1"/>
  <c r="E119" i="1"/>
  <c r="E118" i="1"/>
  <c r="E117" i="1"/>
  <c r="E116" i="1"/>
  <c r="E115" i="1"/>
  <c r="D120" i="1"/>
  <c r="D119" i="1"/>
  <c r="D118" i="1"/>
  <c r="D117" i="1"/>
  <c r="D116" i="1"/>
  <c r="D115" i="1"/>
  <c r="C120" i="1"/>
  <c r="C119" i="1"/>
  <c r="C118" i="1"/>
  <c r="C117" i="1"/>
  <c r="C116" i="1"/>
  <c r="C115" i="1"/>
  <c r="B120" i="1"/>
  <c r="B119" i="1"/>
  <c r="B118" i="1"/>
  <c r="B117" i="1"/>
  <c r="B116" i="1"/>
  <c r="F108" i="1"/>
  <c r="B108" i="1"/>
  <c r="C108" i="1" s="1"/>
  <c r="B124" i="1"/>
  <c r="B123" i="1"/>
  <c r="G92" i="1"/>
  <c r="G93" i="1"/>
  <c r="G94" i="1"/>
  <c r="G91" i="1"/>
  <c r="G90" i="1"/>
  <c r="G89" i="1"/>
  <c r="F94" i="1"/>
  <c r="F93" i="1"/>
  <c r="F92" i="1"/>
  <c r="F91" i="1"/>
  <c r="F90" i="1"/>
  <c r="F89" i="1"/>
  <c r="E94" i="1"/>
  <c r="E93" i="1"/>
  <c r="E92" i="1"/>
  <c r="E91" i="1"/>
  <c r="E90" i="1"/>
  <c r="E89" i="1"/>
  <c r="D94" i="1"/>
  <c r="D93" i="1"/>
  <c r="D92" i="1"/>
  <c r="D91" i="1"/>
  <c r="D90" i="1"/>
  <c r="D89" i="1"/>
  <c r="C94" i="1"/>
  <c r="C93" i="1"/>
  <c r="C92" i="1"/>
  <c r="C91" i="1"/>
  <c r="C90" i="1"/>
  <c r="C89" i="1"/>
  <c r="B94" i="1"/>
  <c r="B93" i="1"/>
  <c r="B92" i="1"/>
  <c r="B91" i="1"/>
  <c r="B90" i="1"/>
  <c r="B83" i="1" s="1"/>
  <c r="B89" i="1"/>
  <c r="B82" i="1"/>
  <c r="C82" i="1" s="1"/>
  <c r="B55" i="1"/>
  <c r="B98" i="1"/>
  <c r="B97" i="1"/>
  <c r="H57" i="1"/>
  <c r="H56" i="1"/>
  <c r="H67" i="1"/>
  <c r="H66" i="1"/>
  <c r="H65" i="1"/>
  <c r="H64" i="1"/>
  <c r="H63" i="1"/>
  <c r="H62" i="1"/>
  <c r="G67" i="1"/>
  <c r="G66" i="1"/>
  <c r="G65" i="1"/>
  <c r="G64" i="1"/>
  <c r="G63" i="1"/>
  <c r="G62" i="1"/>
  <c r="F67" i="1"/>
  <c r="F66" i="1"/>
  <c r="F65" i="1"/>
  <c r="F64" i="1"/>
  <c r="F63" i="1"/>
  <c r="F62" i="1"/>
  <c r="E67" i="1"/>
  <c r="E66" i="1"/>
  <c r="E65" i="1"/>
  <c r="E64" i="1"/>
  <c r="E63" i="1"/>
  <c r="E62" i="1"/>
  <c r="D67" i="1"/>
  <c r="D66" i="1"/>
  <c r="D65" i="1"/>
  <c r="D64" i="1"/>
  <c r="D63" i="1"/>
  <c r="D62" i="1"/>
  <c r="C67" i="1"/>
  <c r="C66" i="1"/>
  <c r="C65" i="1"/>
  <c r="C64" i="1"/>
  <c r="C63" i="1"/>
  <c r="C62" i="1"/>
  <c r="B67" i="1"/>
  <c r="B66" i="1"/>
  <c r="B65" i="1"/>
  <c r="B64" i="1"/>
  <c r="B63" i="1"/>
  <c r="B62" i="1"/>
  <c r="B71" i="1"/>
  <c r="B70" i="1"/>
  <c r="G234" i="1"/>
  <c r="G235" i="1"/>
  <c r="G236" i="1"/>
  <c r="G237" i="1"/>
  <c r="G238" i="1"/>
  <c r="G239" i="1"/>
  <c r="G240" i="1"/>
  <c r="G241" i="1"/>
  <c r="G242" i="1"/>
  <c r="G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233" i="1"/>
  <c r="E233" i="1" l="1"/>
  <c r="D235" i="1"/>
  <c r="D233" i="1"/>
  <c r="E235" i="1"/>
  <c r="T211" i="1"/>
  <c r="Q223" i="1"/>
  <c r="Q217" i="1"/>
  <c r="Q211" i="1"/>
  <c r="N223" i="1"/>
  <c r="N217" i="1"/>
  <c r="N211" i="1"/>
  <c r="K223" i="1"/>
  <c r="K217" i="1"/>
  <c r="K211" i="1"/>
  <c r="H223" i="1"/>
  <c r="H217" i="1"/>
  <c r="H211" i="1"/>
  <c r="E223" i="1"/>
  <c r="E217" i="1"/>
  <c r="E211" i="1"/>
  <c r="B213" i="1"/>
  <c r="B212" i="1"/>
  <c r="B227" i="1"/>
  <c r="B210" i="1"/>
  <c r="B223" i="1"/>
  <c r="B211" i="1"/>
  <c r="C188" i="1"/>
  <c r="C199" i="1"/>
  <c r="C187" i="1"/>
  <c r="B189" i="1"/>
  <c r="B188" i="1"/>
  <c r="B199" i="1"/>
  <c r="B187" i="1"/>
  <c r="B203" i="1"/>
  <c r="B186" i="1" s="1"/>
  <c r="C186" i="1" s="1"/>
  <c r="D163" i="1"/>
  <c r="C163" i="1"/>
  <c r="D162" i="1"/>
  <c r="C162" i="1"/>
  <c r="D173" i="1"/>
  <c r="C173" i="1"/>
  <c r="D161" i="1"/>
  <c r="C161" i="1"/>
  <c r="B163" i="1"/>
  <c r="B162" i="1"/>
  <c r="B161" i="1"/>
  <c r="B177" i="1"/>
  <c r="D160" i="1"/>
  <c r="B173" i="1"/>
  <c r="E137" i="1"/>
  <c r="E136" i="1"/>
  <c r="E135" i="1"/>
  <c r="E147" i="1"/>
  <c r="D137" i="1"/>
  <c r="D136" i="1"/>
  <c r="D135" i="1"/>
  <c r="D147" i="1"/>
  <c r="D138" i="1" s="1"/>
  <c r="C137" i="1"/>
  <c r="C136" i="1"/>
  <c r="C147" i="1"/>
  <c r="B137" i="1"/>
  <c r="B136" i="1"/>
  <c r="B147" i="1"/>
  <c r="B135" i="1"/>
  <c r="B151" i="1"/>
  <c r="C134" i="1"/>
  <c r="D134" i="1" s="1"/>
  <c r="C135" i="1"/>
  <c r="F111" i="1"/>
  <c r="F121" i="1"/>
  <c r="E111" i="1"/>
  <c r="E110" i="1"/>
  <c r="E121" i="1"/>
  <c r="D111" i="1"/>
  <c r="D110" i="1"/>
  <c r="D121" i="1"/>
  <c r="D109" i="1"/>
  <c r="C111" i="1"/>
  <c r="C110" i="1"/>
  <c r="B111" i="1"/>
  <c r="B110" i="1"/>
  <c r="D108" i="1"/>
  <c r="E109" i="1"/>
  <c r="B121" i="1"/>
  <c r="B109" i="1"/>
  <c r="C121" i="1"/>
  <c r="C109" i="1"/>
  <c r="G85" i="1"/>
  <c r="G84" i="1"/>
  <c r="G95" i="1"/>
  <c r="G83" i="1"/>
  <c r="F85" i="1"/>
  <c r="F84" i="1"/>
  <c r="F95" i="1"/>
  <c r="F83" i="1"/>
  <c r="E85" i="1"/>
  <c r="E84" i="1"/>
  <c r="E83" i="1"/>
  <c r="E95" i="1"/>
  <c r="D85" i="1"/>
  <c r="D84" i="1"/>
  <c r="D95" i="1"/>
  <c r="D83" i="1"/>
  <c r="C85" i="1"/>
  <c r="C84" i="1"/>
  <c r="C83" i="1"/>
  <c r="C95" i="1"/>
  <c r="B85" i="1"/>
  <c r="B84" i="1"/>
  <c r="D82" i="1"/>
  <c r="B125" i="1"/>
  <c r="B95" i="1"/>
  <c r="B99" i="1"/>
  <c r="E240" i="1" l="1"/>
  <c r="E239" i="1"/>
  <c r="E238" i="1"/>
  <c r="E241" i="1"/>
  <c r="B214" i="1"/>
  <c r="B215" i="1" s="1"/>
  <c r="C190" i="1"/>
  <c r="C191" i="1" s="1"/>
  <c r="B190" i="1"/>
  <c r="B191" i="1" s="1"/>
  <c r="C164" i="1"/>
  <c r="C165" i="1" s="1"/>
  <c r="D164" i="1"/>
  <c r="D165" i="1" s="1"/>
  <c r="B164" i="1"/>
  <c r="B165" i="1" s="1"/>
  <c r="E138" i="1"/>
  <c r="C138" i="1"/>
  <c r="C139" i="1" s="1"/>
  <c r="B138" i="1"/>
  <c r="B139" i="1" s="1"/>
  <c r="E134" i="1"/>
  <c r="D139" i="1"/>
  <c r="F112" i="1"/>
  <c r="F113" i="1" s="1"/>
  <c r="E112" i="1"/>
  <c r="D112" i="1"/>
  <c r="D113" i="1" s="1"/>
  <c r="C112" i="1"/>
  <c r="C113" i="1" s="1"/>
  <c r="B112" i="1"/>
  <c r="B113" i="1" s="1"/>
  <c r="E108" i="1"/>
  <c r="G86" i="1"/>
  <c r="F86" i="1"/>
  <c r="E86" i="1"/>
  <c r="D86" i="1"/>
  <c r="D87" i="1" s="1"/>
  <c r="C86" i="1"/>
  <c r="C87" i="1" s="1"/>
  <c r="B86" i="1"/>
  <c r="B87" i="1" s="1"/>
  <c r="E82" i="1"/>
  <c r="E139" i="1" l="1"/>
  <c r="E113" i="1"/>
  <c r="E87" i="1"/>
  <c r="F82" i="1"/>
  <c r="F87" i="1" l="1"/>
  <c r="G82" i="1"/>
  <c r="G87" i="1" s="1"/>
  <c r="F56" i="1"/>
  <c r="D56" i="1"/>
  <c r="B56" i="1"/>
  <c r="I40" i="1"/>
  <c r="I39" i="1"/>
  <c r="I38" i="1"/>
  <c r="I37" i="1"/>
  <c r="I36" i="1"/>
  <c r="I35" i="1"/>
  <c r="H40" i="1"/>
  <c r="H39" i="1"/>
  <c r="H38" i="1"/>
  <c r="H37" i="1"/>
  <c r="H36" i="1"/>
  <c r="H35" i="1"/>
  <c r="G40" i="1"/>
  <c r="G39" i="1"/>
  <c r="G38" i="1"/>
  <c r="G37" i="1"/>
  <c r="G36" i="1"/>
  <c r="G35" i="1"/>
  <c r="F40" i="1"/>
  <c r="F39" i="1"/>
  <c r="F38" i="1"/>
  <c r="F37" i="1"/>
  <c r="F36" i="1"/>
  <c r="F35" i="1"/>
  <c r="E40" i="1"/>
  <c r="E39" i="1"/>
  <c r="E38" i="1"/>
  <c r="E37" i="1"/>
  <c r="E36" i="1"/>
  <c r="E35" i="1"/>
  <c r="D40" i="1"/>
  <c r="D39" i="1"/>
  <c r="D38" i="1"/>
  <c r="D37" i="1"/>
  <c r="D36" i="1"/>
  <c r="D35" i="1"/>
  <c r="C40" i="1"/>
  <c r="C39" i="1"/>
  <c r="C38" i="1"/>
  <c r="C37" i="1"/>
  <c r="C36" i="1"/>
  <c r="C35" i="1"/>
  <c r="B40" i="1"/>
  <c r="B39" i="1"/>
  <c r="B38" i="1"/>
  <c r="B37" i="1"/>
  <c r="B36" i="1"/>
  <c r="B35" i="1"/>
  <c r="B44" i="1"/>
  <c r="B43" i="1"/>
  <c r="J14" i="1"/>
  <c r="J13" i="1"/>
  <c r="J12" i="1"/>
  <c r="J11" i="1"/>
  <c r="J10" i="1"/>
  <c r="J9" i="1"/>
  <c r="I14" i="1"/>
  <c r="I13" i="1"/>
  <c r="I12" i="1"/>
  <c r="I11" i="1"/>
  <c r="I10" i="1"/>
  <c r="I9" i="1"/>
  <c r="H14" i="1"/>
  <c r="H13" i="1"/>
  <c r="H12" i="1"/>
  <c r="H11" i="1"/>
  <c r="H10" i="1"/>
  <c r="H9" i="1"/>
  <c r="G14" i="1"/>
  <c r="G13" i="1"/>
  <c r="G12" i="1"/>
  <c r="G11" i="1"/>
  <c r="G10" i="1"/>
  <c r="G9" i="1"/>
  <c r="F14" i="1"/>
  <c r="F13" i="1"/>
  <c r="F12" i="1"/>
  <c r="F11" i="1"/>
  <c r="F10" i="1"/>
  <c r="F9" i="1"/>
  <c r="E14" i="1"/>
  <c r="E13" i="1"/>
  <c r="E12" i="1"/>
  <c r="E11" i="1"/>
  <c r="E10" i="1"/>
  <c r="E9" i="1"/>
  <c r="D14" i="1"/>
  <c r="D13" i="1"/>
  <c r="D12" i="1"/>
  <c r="D11" i="1"/>
  <c r="D10" i="1"/>
  <c r="D9" i="1"/>
  <c r="C14" i="1"/>
  <c r="C13" i="1"/>
  <c r="C12" i="1"/>
  <c r="C11" i="1"/>
  <c r="C10" i="1"/>
  <c r="C9" i="1"/>
  <c r="B14" i="1"/>
  <c r="B13" i="1"/>
  <c r="B12" i="1"/>
  <c r="B11" i="1"/>
  <c r="B10" i="1"/>
  <c r="B9" i="1"/>
  <c r="B18" i="1"/>
  <c r="B17" i="1"/>
  <c r="B29" i="1" l="1"/>
  <c r="C5" i="1"/>
  <c r="E5" i="1"/>
  <c r="G5" i="1"/>
  <c r="I5" i="1"/>
  <c r="B30" i="1"/>
  <c r="D30" i="1"/>
  <c r="F30" i="1"/>
  <c r="H30" i="1"/>
  <c r="C4" i="1"/>
  <c r="E4" i="1"/>
  <c r="G4" i="1"/>
  <c r="I4" i="1"/>
  <c r="D29" i="1"/>
  <c r="F29" i="1"/>
  <c r="H29" i="1"/>
  <c r="C58" i="1"/>
  <c r="E58" i="1"/>
  <c r="G58" i="1"/>
  <c r="B4" i="1"/>
  <c r="D4" i="1"/>
  <c r="F4" i="1"/>
  <c r="H4" i="1"/>
  <c r="B3" i="1"/>
  <c r="D3" i="1"/>
  <c r="F3" i="1"/>
  <c r="H3" i="1"/>
  <c r="J3" i="1"/>
  <c r="B31" i="1"/>
  <c r="D31" i="1"/>
  <c r="F31" i="1"/>
  <c r="H31" i="1"/>
  <c r="B57" i="1"/>
  <c r="D57" i="1"/>
  <c r="F57" i="1"/>
  <c r="E56" i="1"/>
  <c r="J4" i="1"/>
  <c r="C29" i="1"/>
  <c r="E29" i="1"/>
  <c r="G29" i="1"/>
  <c r="I29" i="1"/>
  <c r="B58" i="1"/>
  <c r="D58" i="1"/>
  <c r="F58" i="1"/>
  <c r="H58" i="1"/>
  <c r="B5" i="1"/>
  <c r="D5" i="1"/>
  <c r="F5" i="1"/>
  <c r="H5" i="1"/>
  <c r="J5" i="1"/>
  <c r="C30" i="1"/>
  <c r="E30" i="1"/>
  <c r="G30" i="1"/>
  <c r="I30" i="1"/>
  <c r="C56" i="1"/>
  <c r="G56" i="1"/>
  <c r="C3" i="1"/>
  <c r="E3" i="1"/>
  <c r="G3" i="1"/>
  <c r="I3" i="1"/>
  <c r="C31" i="1"/>
  <c r="E31" i="1"/>
  <c r="G31" i="1"/>
  <c r="I31" i="1"/>
  <c r="C57" i="1"/>
  <c r="E57" i="1"/>
  <c r="G57" i="1"/>
  <c r="H68" i="1"/>
  <c r="G68" i="1"/>
  <c r="F68" i="1"/>
  <c r="E68" i="1"/>
  <c r="D68" i="1"/>
  <c r="B72" i="1"/>
  <c r="B68" i="1"/>
  <c r="C68" i="1"/>
  <c r="I41" i="1"/>
  <c r="H41" i="1"/>
  <c r="F41" i="1"/>
  <c r="B45" i="1"/>
  <c r="B28" i="1" s="1"/>
  <c r="D41" i="1"/>
  <c r="E41" i="1"/>
  <c r="C41" i="1"/>
  <c r="B41" i="1"/>
  <c r="G41" i="1"/>
  <c r="B15" i="1"/>
  <c r="B19" i="1"/>
  <c r="J15" i="1"/>
  <c r="I15" i="1"/>
  <c r="H15" i="1"/>
  <c r="G15" i="1"/>
  <c r="F15" i="1"/>
  <c r="E15" i="1"/>
  <c r="D15" i="1"/>
  <c r="C15" i="1"/>
  <c r="H32" i="1" l="1"/>
  <c r="F6" i="1"/>
  <c r="C55" i="1"/>
  <c r="C18" i="1"/>
  <c r="C17" i="1"/>
  <c r="G32" i="1"/>
  <c r="C28" i="1"/>
  <c r="D28" i="1" s="1"/>
  <c r="E28" i="1" s="1"/>
  <c r="F28" i="1" s="1"/>
  <c r="D6" i="1"/>
  <c r="H59" i="1"/>
  <c r="G59" i="1"/>
  <c r="F59" i="1"/>
  <c r="E59" i="1"/>
  <c r="D59" i="1"/>
  <c r="C59" i="1"/>
  <c r="B59" i="1"/>
  <c r="B60" i="1" s="1"/>
  <c r="I32" i="1"/>
  <c r="F32" i="1"/>
  <c r="E32" i="1"/>
  <c r="D32" i="1"/>
  <c r="C32" i="1"/>
  <c r="B32" i="1"/>
  <c r="B33" i="1" s="1"/>
  <c r="J6" i="1"/>
  <c r="I6" i="1"/>
  <c r="H6" i="1"/>
  <c r="G6" i="1"/>
  <c r="E6" i="1"/>
  <c r="C6" i="1"/>
  <c r="B6" i="1"/>
  <c r="C60" i="1" l="1"/>
  <c r="B2" i="1"/>
  <c r="C2" i="1" s="1"/>
  <c r="D2" i="1" s="1"/>
  <c r="E2" i="1" s="1"/>
  <c r="F2" i="1" s="1"/>
  <c r="G2" i="1" s="1"/>
  <c r="C33" i="1"/>
  <c r="D55" i="1"/>
  <c r="D33" i="1"/>
  <c r="F7" i="1" l="1"/>
  <c r="D7" i="1"/>
  <c r="E7" i="1"/>
  <c r="B7" i="1"/>
  <c r="C7" i="1"/>
  <c r="D60" i="1"/>
  <c r="E55" i="1"/>
  <c r="E33" i="1"/>
  <c r="H2" i="1"/>
  <c r="G7" i="1"/>
  <c r="E60" i="1" l="1"/>
  <c r="F55" i="1"/>
  <c r="I2" i="1"/>
  <c r="H7" i="1"/>
  <c r="F60" i="1" l="1"/>
  <c r="G55" i="1"/>
  <c r="G28" i="1"/>
  <c r="F33" i="1"/>
  <c r="J2" i="1"/>
  <c r="J7" i="1" s="1"/>
  <c r="I7" i="1"/>
  <c r="G60" i="1" l="1"/>
  <c r="H55" i="1"/>
  <c r="H60" i="1" s="1"/>
  <c r="H28" i="1"/>
  <c r="G33" i="1"/>
  <c r="I28" i="1" l="1"/>
  <c r="I33" i="1" s="1"/>
  <c r="H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<sst xmlns="http://schemas.openxmlformats.org/spreadsheetml/2006/main" count="9872" uniqueCount="66">
  <si>
    <t>top-left-square</t>
  </si>
  <si>
    <t>negative</t>
  </si>
  <si>
    <t>x</t>
  </si>
  <si>
    <t>o</t>
  </si>
  <si>
    <t>b</t>
  </si>
  <si>
    <t>positive</t>
  </si>
  <si>
    <t>bottom-right-square</t>
  </si>
  <si>
    <t>bottom-middle-square</t>
  </si>
  <si>
    <t>bottom-left-square</t>
  </si>
  <si>
    <t>middle-right-square</t>
  </si>
  <si>
    <t>middle-middle-square</t>
  </si>
  <si>
    <t>middle-left-square</t>
  </si>
  <si>
    <t>top-right-square</t>
  </si>
  <si>
    <t>top-middle-square</t>
  </si>
  <si>
    <t>Entropía general</t>
  </si>
  <si>
    <t>Entropía X</t>
  </si>
  <si>
    <t>Entropía B</t>
  </si>
  <si>
    <t>Entropía O</t>
  </si>
  <si>
    <t>Entropía final</t>
  </si>
  <si>
    <t>Ganancia</t>
  </si>
  <si>
    <t>Num de positivos</t>
  </si>
  <si>
    <t>Num de negativos</t>
  </si>
  <si>
    <t>Total</t>
  </si>
  <si>
    <t>X positivos</t>
  </si>
  <si>
    <t>X negativos</t>
  </si>
  <si>
    <t>B positivos</t>
  </si>
  <si>
    <t>B negativos</t>
  </si>
  <si>
    <t>O positivos</t>
  </si>
  <si>
    <t>O negativos</t>
  </si>
  <si>
    <t>middle-middle-square  "x"</t>
  </si>
  <si>
    <t>bottom-right-square  "b"</t>
  </si>
  <si>
    <t>bottom-right-square  "o"</t>
  </si>
  <si>
    <t>top-right-square  "x"</t>
  </si>
  <si>
    <t>top-right-square  "b"</t>
  </si>
  <si>
    <t>top-middle-square  "x"</t>
  </si>
  <si>
    <t>bottom-middle-square  "x"</t>
  </si>
  <si>
    <t>bottom-middle-square  "b"</t>
  </si>
  <si>
    <t>bottom-middle-square  "o"</t>
  </si>
  <si>
    <t>top-right-square  "o"</t>
  </si>
  <si>
    <t>top-middle-square  "b"</t>
  </si>
  <si>
    <t>bottom-left-square  "x"</t>
  </si>
  <si>
    <t>bottom-left-square  "b"</t>
  </si>
  <si>
    <t>Predicción</t>
  </si>
  <si>
    <t>Valor real</t>
  </si>
  <si>
    <t>Verdaderos positivos</t>
  </si>
  <si>
    <t>Verdaderos negativos</t>
  </si>
  <si>
    <t>Falsos positivos</t>
  </si>
  <si>
    <t>Falsos negativos</t>
  </si>
  <si>
    <t>Exactitud</t>
  </si>
  <si>
    <t>Precisión</t>
  </si>
  <si>
    <t>Sensibilidad</t>
  </si>
  <si>
    <t>Tasa de error</t>
  </si>
  <si>
    <t>TESTEO DEL MODELO</t>
  </si>
  <si>
    <t>NUEVOS DATOS</t>
  </si>
  <si>
    <t>Valores</t>
  </si>
  <si>
    <t>middle-middle-square  "b"</t>
  </si>
  <si>
    <t>middle-middle-square  "o"</t>
  </si>
  <si>
    <t>top-left-square  "x"</t>
  </si>
  <si>
    <t>top-left-square  "b"</t>
  </si>
  <si>
    <t>top-left-square  "o"</t>
  </si>
  <si>
    <t>bottom-right-square  "x"</t>
  </si>
  <si>
    <t>top-middle-square  "o"</t>
  </si>
  <si>
    <t>bottom-left-square  "o"</t>
  </si>
  <si>
    <t>middle-right-square  "x"</t>
  </si>
  <si>
    <t>middle-right-square  "b"</t>
  </si>
  <si>
    <t>middle-right-square  "o"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</si>
</sst>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303030"/>
      <name val="Arial"/>
      <family val="2"/>
    </font>
    <font>
      <sz val="11"/>
      <color rgb="FF303030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9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1"/>
    <xf numFmtId="0" fontId="4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4" fillId="0" borderId="0" xfId="2"/>
    <xf numFmtId="0" fontId="0" fillId="0" borderId="0" xfId="0" applyAlignment="1">
      <alignment horizontal="center"/>
    </xf>
    <xf numFmtId="0" fontId="3" fillId="0" borderId="0" xfId="2" applyFont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/>
  </cellXfs>
  <cellStyles count="3">
    <cellStyle name="Normal" xfId="0" builtinId="0"/>
    <cellStyle name="Normal 2" xfId="1" xr:uid="{736CE92E-C442-4380-81AA-41140B977E10}"/>
    <cellStyle name="Normal 2 2" xfId="2" xr:uid="{DC7F3AF0-4E21-41AB-928D-8958C290F9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514E-5606-44E0-A276-A7C38C4E4E58}">
  <dimension ref="A1:T563"/>
  <sheetViews>
    <sheetView tabSelected="1" topLeftCell="A226" zoomScale="96" zoomScaleNormal="85" workbookViewId="0">
      <selection activeCell="D232" sqref="D232:E241"/>
    </sheetView>
  </sheetViews>
  <sheetFormatPr baseColWidth="10" defaultRowHeight="14.4" x14ac:dyDescent="0.3"/>
  <cols>
    <col min="1" max="1" width="14" bestFit="1" customWidth="1"/>
    <col min="2" max="2" width="17.6640625" bestFit="1" customWidth="1"/>
    <col min="3" max="3" width="18.6640625" bestFit="1" customWidth="1"/>
    <col min="4" max="4" width="20.109375" bestFit="1" customWidth="1"/>
    <col min="5" max="5" width="18.33203125" bestFit="1" customWidth="1"/>
    <col min="6" max="6" width="20.109375" bestFit="1" customWidth="1"/>
    <col min="7" max="8" width="21.33203125" bestFit="1" customWidth="1"/>
    <col min="9" max="9" width="20.33203125" bestFit="1" customWidth="1"/>
    <col min="10" max="10" width="18.44140625" bestFit="1" customWidth="1"/>
    <col min="13" max="13" width="15.77734375" bestFit="1" customWidth="1"/>
    <col min="16" max="16" width="15.77734375" bestFit="1" customWidth="1"/>
    <col min="19" max="19" width="15.77734375" bestFit="1" customWidth="1"/>
  </cols>
  <sheetData>
    <row r="1" spans="1:10" x14ac:dyDescent="0.3">
      <c r="B1" s="1" t="s">
        <v>0</v>
      </c>
      <c r="C1" s="9" t="s">
        <v>13</v>
      </c>
      <c r="D1" s="9" t="s">
        <v>12</v>
      </c>
      <c r="E1" s="9" t="s">
        <v>11</v>
      </c>
      <c r="F1" s="9" t="s">
        <v>10</v>
      </c>
      <c r="G1" s="9" t="s">
        <v>9</v>
      </c>
      <c r="H1" s="9" t="s">
        <v>8</v>
      </c>
      <c r="I1" s="9" t="s">
        <v>7</v>
      </c>
      <c r="J1" s="9" t="s">
        <v>6</v>
      </c>
    </row>
    <row r="2" spans="1:10" x14ac:dyDescent="0.3">
      <c r="A2" s="8" t="s">
        <v>14</v>
      </c>
      <c r="B2">
        <f>ROUND(C17*LOG(C17,2)+C18*LOG(C18,2),3)*-1</f>
        <v>0.91200000000000003</v>
      </c>
      <c r="C2">
        <f>B2</f>
        <v>0.91200000000000003</v>
      </c>
      <c r="D2">
        <f t="shared" ref="D2:J2" si="0">C2</f>
        <v>0.91200000000000003</v>
      </c>
      <c r="E2">
        <f t="shared" si="0"/>
        <v>0.91200000000000003</v>
      </c>
      <c r="F2">
        <f>E2</f>
        <v>0.91200000000000003</v>
      </c>
      <c r="G2">
        <f t="shared" si="0"/>
        <v>0.91200000000000003</v>
      </c>
      <c r="H2">
        <f t="shared" si="0"/>
        <v>0.91200000000000003</v>
      </c>
      <c r="I2">
        <f t="shared" si="0"/>
        <v>0.91200000000000003</v>
      </c>
      <c r="J2">
        <f t="shared" si="0"/>
        <v>0.91200000000000003</v>
      </c>
    </row>
    <row r="3" spans="1:10" x14ac:dyDescent="0.3">
      <c r="A3" s="8" t="s">
        <v>15</v>
      </c>
      <c r="B3">
        <f t="shared" ref="B3:J3" si="1">ROUND((((B9/(B9+B10))*LOG(B9/(B9+B10),2))+((B10/(B9+B10))*LOG(B10/(B9+B10),2)))*-1,3)</f>
        <v>0.752</v>
      </c>
      <c r="C3">
        <f t="shared" si="1"/>
        <v>0.92300000000000004</v>
      </c>
      <c r="D3">
        <f t="shared" si="1"/>
        <v>0.83899999999999997</v>
      </c>
      <c r="E3">
        <f t="shared" si="1"/>
        <v>0.96299999999999997</v>
      </c>
      <c r="F3">
        <f t="shared" si="1"/>
        <v>0.71099999999999997</v>
      </c>
      <c r="G3">
        <f t="shared" si="1"/>
        <v>0.97299999999999998</v>
      </c>
      <c r="H3">
        <f t="shared" si="1"/>
        <v>0.87</v>
      </c>
      <c r="I3">
        <f t="shared" si="1"/>
        <v>0.97299999999999998</v>
      </c>
      <c r="J3">
        <f t="shared" si="1"/>
        <v>0.86699999999999999</v>
      </c>
    </row>
    <row r="4" spans="1:10" x14ac:dyDescent="0.3">
      <c r="A4" s="8" t="s">
        <v>16</v>
      </c>
      <c r="B4">
        <f t="shared" ref="B4:J4" si="2">ROUND((((B11/(B12+B11))*LOG(B11/(B12+B11),2))+((B12/(B11+B12))*LOG(B12/(B11+B12),2)))*-1,3)</f>
        <v>0.95899999999999996</v>
      </c>
      <c r="C4">
        <f t="shared" si="2"/>
        <v>0.94699999999999995</v>
      </c>
      <c r="D4">
        <f t="shared" si="2"/>
        <v>0.90600000000000003</v>
      </c>
      <c r="E4">
        <f t="shared" si="2"/>
        <v>0.86</v>
      </c>
      <c r="F4">
        <f t="shared" si="2"/>
        <v>0.84799999999999998</v>
      </c>
      <c r="G4">
        <f t="shared" si="2"/>
        <v>0.871</v>
      </c>
      <c r="H4">
        <f t="shared" si="2"/>
        <v>0.86299999999999999</v>
      </c>
      <c r="I4">
        <f t="shared" si="2"/>
        <v>0.85799999999999998</v>
      </c>
      <c r="J4">
        <f t="shared" si="2"/>
        <v>0.85699999999999998</v>
      </c>
    </row>
    <row r="5" spans="1:10" x14ac:dyDescent="0.3">
      <c r="A5" s="8" t="s">
        <v>17</v>
      </c>
      <c r="B5">
        <f t="shared" ref="B5:J5" si="3">ROUND((((B13/(B14+B13))*LOG(B13/(B14+B13),2))+((B14/(B13+B14))*LOG(B14/(B13+B14),2)))*-1,3)</f>
        <v>0.98699999999999999</v>
      </c>
      <c r="C5">
        <f t="shared" si="3"/>
        <v>0.86699999999999999</v>
      </c>
      <c r="D5">
        <f t="shared" si="3"/>
        <v>0.97499999999999998</v>
      </c>
      <c r="E5">
        <f t="shared" si="3"/>
        <v>0.86599999999999999</v>
      </c>
      <c r="F5">
        <f t="shared" si="3"/>
        <v>0.995</v>
      </c>
      <c r="G5">
        <f t="shared" si="3"/>
        <v>0.83599999999999997</v>
      </c>
      <c r="H5">
        <f t="shared" si="3"/>
        <v>0.97099999999999997</v>
      </c>
      <c r="I5">
        <f t="shared" si="3"/>
        <v>0.84699999999999998</v>
      </c>
      <c r="J5">
        <f t="shared" si="3"/>
        <v>0.97299999999999998</v>
      </c>
    </row>
    <row r="6" spans="1:10" x14ac:dyDescent="0.3">
      <c r="A6" s="8" t="s">
        <v>18</v>
      </c>
      <c r="B6">
        <f>ROUND(((((B9+B10)/B15)*B3)+(((B11+B12)/B15)*B4)+(((B13+B14)/B15)*B5)),3)</f>
        <v>0.877</v>
      </c>
      <c r="C6">
        <f>ROUND(((((C9+C10)/C15)*C3)+(((C11+C12)/C15)*C4)+(((C13+C14)/C15)*C5)),3)</f>
        <v>0.90800000000000003</v>
      </c>
      <c r="D6">
        <f t="shared" ref="D6:J6" si="4">ROUND(((((D9+D10)/D15)*D3)+(((D11+D12)/D15)*D4)+(((D13+D14)/D15)*D5)),3)</f>
        <v>0.9</v>
      </c>
      <c r="E6">
        <f t="shared" si="4"/>
        <v>0.90300000000000002</v>
      </c>
      <c r="F6">
        <f>ROUND(((((F9+F10)/F15)*F3)+(((F11+F12)/F15)*F4)+(((F13+F14)/F15)*F5)),3)</f>
        <v>0.83099999999999996</v>
      </c>
      <c r="G6">
        <f t="shared" si="4"/>
        <v>0.89800000000000002</v>
      </c>
      <c r="H6">
        <f t="shared" si="4"/>
        <v>0.90300000000000002</v>
      </c>
      <c r="I6">
        <f t="shared" si="4"/>
        <v>0.89900000000000002</v>
      </c>
      <c r="J6">
        <f t="shared" si="4"/>
        <v>0.90100000000000002</v>
      </c>
    </row>
    <row r="7" spans="1:10" x14ac:dyDescent="0.3">
      <c r="A7" s="8" t="s">
        <v>19</v>
      </c>
      <c r="B7">
        <f>ROUND((B2-B6),3)</f>
        <v>3.5000000000000003E-2</v>
      </c>
      <c r="C7">
        <f>ROUND((C2-C6),3)</f>
        <v>4.0000000000000001E-3</v>
      </c>
      <c r="D7">
        <f t="shared" ref="D7:J7" si="5">ROUND((D2-D6),3)</f>
        <v>1.2E-2</v>
      </c>
      <c r="E7">
        <f t="shared" si="5"/>
        <v>8.9999999999999993E-3</v>
      </c>
      <c r="F7" s="10">
        <f t="shared" si="5"/>
        <v>8.1000000000000003E-2</v>
      </c>
      <c r="G7">
        <f t="shared" si="5"/>
        <v>1.4E-2</v>
      </c>
      <c r="H7">
        <f t="shared" si="5"/>
        <v>8.9999999999999993E-3</v>
      </c>
      <c r="I7">
        <f t="shared" si="5"/>
        <v>1.2999999999999999E-2</v>
      </c>
      <c r="J7">
        <f t="shared" si="5"/>
        <v>1.0999999999999999E-2</v>
      </c>
    </row>
    <row r="9" spans="1:10" x14ac:dyDescent="0.3">
      <c r="A9" s="8" t="s">
        <v>23</v>
      </c>
      <c r="B9">
        <f>COUNTIFS(TRAIN!A:A,"x",TRAIN!J:J,"positive")</f>
        <v>295</v>
      </c>
      <c r="C9">
        <f>COUNTIFS(TRAIN!B:B,"x",TRAIN!J:J,"positive")</f>
        <v>215</v>
      </c>
      <c r="D9">
        <f>COUNTIFS(TRAIN!C:C,"x",TRAIN!J:J,"positive")</f>
        <v>273</v>
      </c>
      <c r="E9">
        <f>COUNTIFS(TRAIN!D:D,"x",TRAIN!J:J,"positive")</f>
        <v>209</v>
      </c>
      <c r="F9">
        <f>COUNTIFS(TRAIN!E:E,"x",TRAIN!J:J,"positive")</f>
        <v>335</v>
      </c>
      <c r="G9">
        <f>COUNTIFS(TRAIN!F:F,"x",TRAIN!J:J,"positive")</f>
        <v>196</v>
      </c>
      <c r="H9">
        <f>COUNTIFS(TRAIN!G:G,"x",TRAIN!J:J,"positive")</f>
        <v>268</v>
      </c>
      <c r="I9">
        <f>COUNTIFS(TRAIN!H:H,"x",TRAIN!J:J,"positive")</f>
        <v>198</v>
      </c>
      <c r="J9">
        <f>COUNTIFS(TRAIN!I:I,"x",TRAIN!J:J,"positive")</f>
        <v>264</v>
      </c>
    </row>
    <row r="10" spans="1:10" x14ac:dyDescent="0.3">
      <c r="A10" s="8" t="s">
        <v>24</v>
      </c>
      <c r="B10">
        <f>COUNTIFS(TRAIN!A:A,"x",TRAIN!J:J,"negative")</f>
        <v>81</v>
      </c>
      <c r="C10">
        <f>COUNTIFS(TRAIN!B:B,"x",TRAIN!J:J,"negative")</f>
        <v>110</v>
      </c>
      <c r="D10">
        <f>COUNTIFS(TRAIN!C:C,"x",TRAIN!J:J,"negative")</f>
        <v>100</v>
      </c>
      <c r="E10">
        <f>COUNTIFS(TRAIN!D:D,"x",TRAIN!J:J,"negative")</f>
        <v>132</v>
      </c>
      <c r="F10">
        <f>COUNTIFS(TRAIN!E:E,"x",TRAIN!J:J,"negative")</f>
        <v>81</v>
      </c>
      <c r="G10">
        <f>COUNTIFS(TRAIN!F:F,"x",TRAIN!J:J,"negative")</f>
        <v>133</v>
      </c>
      <c r="H10">
        <f>COUNTIFS(TRAIN!G:G,"x",TRAIN!J:J,"negative")</f>
        <v>110</v>
      </c>
      <c r="I10">
        <f>COUNTIFS(TRAIN!H:H,"x",TRAIN!J:J,"negative")</f>
        <v>134</v>
      </c>
      <c r="J10">
        <f>COUNTIFS(TRAIN!I:I,"x",TRAIN!J:J,"negative")</f>
        <v>107</v>
      </c>
    </row>
    <row r="11" spans="1:10" x14ac:dyDescent="0.3">
      <c r="A11" s="8" t="s">
        <v>25</v>
      </c>
      <c r="B11">
        <f>COUNTIFS(TRAIN!A:A,"b",TRAIN!J:J,"positive")</f>
        <v>102</v>
      </c>
      <c r="C11">
        <f>COUNTIFS(TRAIN!B:B,"b",TRAIN!J:J,"positive")</f>
        <v>132</v>
      </c>
      <c r="D11">
        <f>COUNTIFS(TRAIN!C:C,"b",TRAIN!J:J,"positive")</f>
        <v>129</v>
      </c>
      <c r="E11">
        <f>COUNTIFS(TRAIN!D:D,"b",TRAIN!J:J,"positive")</f>
        <v>157</v>
      </c>
      <c r="F11">
        <f>COUNTIFS(TRAIN!E:E,"b",TRAIN!J:J,"positive")</f>
        <v>103</v>
      </c>
      <c r="G11">
        <f>COUNTIFS(TRAIN!F:F,"b",TRAIN!J:J,"positive")</f>
        <v>160</v>
      </c>
      <c r="H11">
        <f>COUNTIFS(TRAIN!G:G,"b",TRAIN!J:J,"positive")</f>
        <v>130</v>
      </c>
      <c r="I11">
        <f>COUNTIFS(TRAIN!H:H,"b",TRAIN!J:J,"positive")</f>
        <v>158</v>
      </c>
      <c r="J11">
        <f>COUNTIFS(TRAIN!I:I,"b",TRAIN!J:J,"positive")</f>
        <v>133</v>
      </c>
    </row>
    <row r="12" spans="1:10" x14ac:dyDescent="0.3">
      <c r="A12" s="8" t="s">
        <v>26</v>
      </c>
      <c r="B12">
        <f>COUNTIFS(TRAIN!A:A,"b",TRAIN!J:J,"negative")</f>
        <v>63</v>
      </c>
      <c r="C12">
        <f>COUNTIFS(TRAIN!B:B,"b",TRAIN!J:J,"negative")</f>
        <v>76</v>
      </c>
      <c r="D12">
        <f>COUNTIFS(TRAIN!C:C,"b",TRAIN!J:J,"negative")</f>
        <v>61</v>
      </c>
      <c r="E12">
        <f>COUNTIFS(TRAIN!D:D,"b",TRAIN!J:J,"negative")</f>
        <v>62</v>
      </c>
      <c r="F12">
        <f>COUNTIFS(TRAIN!E:E,"b",TRAIN!J:J,"negative")</f>
        <v>39</v>
      </c>
      <c r="G12">
        <f>COUNTIFS(TRAIN!F:F,"b",TRAIN!J:J,"negative")</f>
        <v>66</v>
      </c>
      <c r="H12">
        <f>COUNTIFS(TRAIN!G:G,"b",TRAIN!J:J,"negative")</f>
        <v>52</v>
      </c>
      <c r="I12">
        <f>COUNTIFS(TRAIN!H:H,"b",TRAIN!J:J,"negative")</f>
        <v>62</v>
      </c>
      <c r="J12">
        <f>COUNTIFS(TRAIN!I:I,"b",TRAIN!J:J,"negative")</f>
        <v>52</v>
      </c>
    </row>
    <row r="13" spans="1:10" x14ac:dyDescent="0.3">
      <c r="A13" s="8" t="s">
        <v>27</v>
      </c>
      <c r="B13">
        <f>COUNTIFS(TRAIN!A:A,"o",TRAIN!J:J,"positive")</f>
        <v>174</v>
      </c>
      <c r="C13">
        <f>COUNTIFS(TRAIN!B:B,"o",TRAIN!J:J,"positive")</f>
        <v>224</v>
      </c>
      <c r="D13">
        <f>COUNTIFS(TRAIN!C:C,"o",TRAIN!J:J,"positive")</f>
        <v>169</v>
      </c>
      <c r="E13">
        <f>COUNTIFS(TRAIN!D:D,"o",TRAIN!J:J,"positive")</f>
        <v>205</v>
      </c>
      <c r="F13">
        <f>COUNTIFS(TRAIN!E:E,"o",TRAIN!J:J,"positive")</f>
        <v>133</v>
      </c>
      <c r="G13">
        <f>COUNTIFS(TRAIN!F:F,"o",TRAIN!J:J,"positive")</f>
        <v>215</v>
      </c>
      <c r="H13">
        <f>COUNTIFS(TRAIN!G:G,"o",TRAIN!J:J,"positive")</f>
        <v>173</v>
      </c>
      <c r="I13">
        <f>COUNTIFS(TRAIN!H:H,"o",TRAIN!J:J,"positive")</f>
        <v>215</v>
      </c>
      <c r="J13">
        <f>COUNTIFS(TRAIN!I:I,"o",TRAIN!J:J,"positive")</f>
        <v>174</v>
      </c>
    </row>
    <row r="14" spans="1:10" x14ac:dyDescent="0.3">
      <c r="A14" s="8" t="s">
        <v>28</v>
      </c>
      <c r="B14">
        <f>COUNTIFS(TRAIN!A:A,"o",TRAIN!J:J,"negative")</f>
        <v>133</v>
      </c>
      <c r="C14">
        <f>COUNTIFS(TRAIN!B:B,"o",TRAIN!J:J,"negative")</f>
        <v>91</v>
      </c>
      <c r="D14">
        <f>COUNTIFS(TRAIN!C:C,"o",TRAIN!J:J,"negative")</f>
        <v>116</v>
      </c>
      <c r="E14">
        <f>COUNTIFS(TRAIN!D:D,"o",TRAIN!J:J,"negative")</f>
        <v>83</v>
      </c>
      <c r="F14">
        <f>COUNTIFS(TRAIN!E:E,"o",TRAIN!J:J,"negative")</f>
        <v>157</v>
      </c>
      <c r="G14">
        <f>COUNTIFS(TRAIN!F:F,"o",TRAIN!J:J,"negative")</f>
        <v>78</v>
      </c>
      <c r="H14">
        <f>COUNTIFS(TRAIN!G:G,"o",TRAIN!J:J,"negative")</f>
        <v>115</v>
      </c>
      <c r="I14">
        <f>COUNTIFS(TRAIN!H:H,"o",TRAIN!J:J,"negative")</f>
        <v>81</v>
      </c>
      <c r="J14">
        <f>COUNTIFS(TRAIN!I:I,"o",TRAIN!J:J,"negative")</f>
        <v>118</v>
      </c>
    </row>
    <row r="15" spans="1:10" x14ac:dyDescent="0.3">
      <c r="A15" s="8" t="s">
        <v>22</v>
      </c>
      <c r="B15">
        <f>B9+B10+B11+B12+B13+B14</f>
        <v>848</v>
      </c>
      <c r="C15">
        <f>C9+C10+C11+C12+C13+C14</f>
        <v>848</v>
      </c>
      <c r="D15">
        <f t="shared" ref="D15:J15" si="6">D9+D10+D11+D12+D13+D14</f>
        <v>848</v>
      </c>
      <c r="E15">
        <f t="shared" si="6"/>
        <v>848</v>
      </c>
      <c r="F15">
        <f t="shared" si="6"/>
        <v>848</v>
      </c>
      <c r="G15">
        <f t="shared" si="6"/>
        <v>848</v>
      </c>
      <c r="H15">
        <f t="shared" si="6"/>
        <v>848</v>
      </c>
      <c r="I15">
        <f t="shared" si="6"/>
        <v>848</v>
      </c>
      <c r="J15">
        <f t="shared" si="6"/>
        <v>848</v>
      </c>
    </row>
    <row r="17" spans="1:9" x14ac:dyDescent="0.3">
      <c r="A17" s="8" t="s">
        <v>20</v>
      </c>
      <c r="B17">
        <f>COUNTIF(TRAIN!J:J,"positive")</f>
        <v>571</v>
      </c>
      <c r="C17">
        <f>ROUND(B17/B19,3)</f>
        <v>0.67300000000000004</v>
      </c>
    </row>
    <row r="18" spans="1:9" x14ac:dyDescent="0.3">
      <c r="A18" s="8" t="s">
        <v>21</v>
      </c>
      <c r="B18">
        <f>COUNTIF(TRAIN!J:J,"negative")</f>
        <v>277</v>
      </c>
      <c r="C18">
        <f>ROUND(B18/B19,3)</f>
        <v>0.32700000000000001</v>
      </c>
    </row>
    <row r="19" spans="1:9" x14ac:dyDescent="0.3">
      <c r="A19" s="8" t="s">
        <v>22</v>
      </c>
      <c r="B19">
        <f>B17+B18</f>
        <v>848</v>
      </c>
    </row>
    <row r="25" spans="1:9" ht="15.6" x14ac:dyDescent="0.3">
      <c r="A25" s="16" t="s">
        <v>29</v>
      </c>
      <c r="B25" s="16"/>
    </row>
    <row r="27" spans="1:9" x14ac:dyDescent="0.3">
      <c r="B27" s="1" t="s">
        <v>0</v>
      </c>
      <c r="C27" s="9" t="s">
        <v>13</v>
      </c>
      <c r="D27" s="9" t="s">
        <v>12</v>
      </c>
      <c r="E27" s="9" t="s">
        <v>11</v>
      </c>
      <c r="F27" s="9" t="s">
        <v>9</v>
      </c>
      <c r="G27" s="9" t="s">
        <v>8</v>
      </c>
      <c r="H27" s="9" t="s">
        <v>7</v>
      </c>
      <c r="I27" s="9" t="s">
        <v>6</v>
      </c>
    </row>
    <row r="28" spans="1:9" x14ac:dyDescent="0.3">
      <c r="A28" s="8" t="s">
        <v>14</v>
      </c>
      <c r="B28">
        <f>ROUND((((B43/B45)*LOG(B43/B45,2))+((B44/B45)*LOG(B44/B45,2)))*-1,3)</f>
        <v>0.71099999999999997</v>
      </c>
      <c r="C28">
        <f>B28</f>
        <v>0.71099999999999997</v>
      </c>
      <c r="D28">
        <f t="shared" ref="D28" si="7">C28</f>
        <v>0.71099999999999997</v>
      </c>
      <c r="E28">
        <f>D28</f>
        <v>0.71099999999999997</v>
      </c>
      <c r="F28">
        <f>E28</f>
        <v>0.71099999999999997</v>
      </c>
      <c r="G28">
        <f>F28</f>
        <v>0.71099999999999997</v>
      </c>
      <c r="H28">
        <f>G28</f>
        <v>0.71099999999999997</v>
      </c>
      <c r="I28">
        <f>H28</f>
        <v>0.71099999999999997</v>
      </c>
    </row>
    <row r="29" spans="1:9" x14ac:dyDescent="0.3">
      <c r="A29" s="8" t="s">
        <v>15</v>
      </c>
      <c r="B29">
        <f t="shared" ref="B29:I29" si="8">ROUND((((B35/(B35+B36))*LOG(B35/(B35+B36),2))+((B36/(B35+B36))*LOG(B36/(B35+B36),2)))*-1,3)</f>
        <v>0.51900000000000002</v>
      </c>
      <c r="C29">
        <f t="shared" si="8"/>
        <v>0.66600000000000004</v>
      </c>
      <c r="D29">
        <f t="shared" si="8"/>
        <v>0.625</v>
      </c>
      <c r="E29">
        <f t="shared" si="8"/>
        <v>0.747</v>
      </c>
      <c r="F29">
        <f t="shared" si="8"/>
        <v>0.75</v>
      </c>
      <c r="G29">
        <f t="shared" si="8"/>
        <v>0.64500000000000002</v>
      </c>
      <c r="H29">
        <f t="shared" si="8"/>
        <v>0.78</v>
      </c>
      <c r="I29">
        <f t="shared" si="8"/>
        <v>0.65700000000000003</v>
      </c>
    </row>
    <row r="30" spans="1:9" x14ac:dyDescent="0.3">
      <c r="A30" s="8" t="s">
        <v>16</v>
      </c>
      <c r="B30">
        <f t="shared" ref="B30:I30" si="9">ROUND((((B37/(B38+B37))*LOG(B37/(B38+B37),2))+((B38/(B37+B38))*LOG(B38/(B37+B38),2)))*-1,3)</f>
        <v>0.63700000000000001</v>
      </c>
      <c r="C30">
        <f t="shared" si="9"/>
        <v>0.78300000000000003</v>
      </c>
      <c r="D30">
        <f t="shared" si="9"/>
        <v>0.56799999999999995</v>
      </c>
      <c r="E30">
        <f t="shared" si="9"/>
        <v>0.66700000000000004</v>
      </c>
      <c r="F30">
        <f t="shared" si="9"/>
        <v>0.72499999999999998</v>
      </c>
      <c r="G30">
        <f t="shared" si="9"/>
        <v>0.53300000000000003</v>
      </c>
      <c r="H30">
        <f t="shared" si="9"/>
        <v>0.71799999999999997</v>
      </c>
      <c r="I30">
        <f t="shared" si="9"/>
        <v>0.58799999999999997</v>
      </c>
    </row>
    <row r="31" spans="1:9" x14ac:dyDescent="0.3">
      <c r="A31" s="8" t="s">
        <v>17</v>
      </c>
      <c r="B31">
        <f t="shared" ref="B31:I31" si="10">ROUND((((B39/(B40+B39))*LOG(B39/(B40+B39),2))+((B40/(B39+B40))*LOG(B40/(B39+B40),2)))*-1,3)</f>
        <v>0.86799999999999999</v>
      </c>
      <c r="C31">
        <f t="shared" si="10"/>
        <v>0.7</v>
      </c>
      <c r="D31">
        <f t="shared" si="10"/>
        <v>0.84199999999999997</v>
      </c>
      <c r="E31">
        <f t="shared" si="10"/>
        <v>0.70699999999999996</v>
      </c>
      <c r="F31">
        <f t="shared" si="10"/>
        <v>0.66400000000000003</v>
      </c>
      <c r="G31">
        <f t="shared" si="10"/>
        <v>0.84199999999999997</v>
      </c>
      <c r="H31">
        <f t="shared" si="10"/>
        <v>0.63</v>
      </c>
      <c r="I31">
        <f t="shared" si="10"/>
        <v>0.82199999999999995</v>
      </c>
    </row>
    <row r="32" spans="1:9" x14ac:dyDescent="0.3">
      <c r="A32" s="8" t="s">
        <v>18</v>
      </c>
      <c r="B32">
        <f>ROUND(((((B35+B36)/B41)*B29)+(((B37+B38)/B41)*B30)+(((B39+B40)/B41)*B31)),3)</f>
        <v>0.68300000000000005</v>
      </c>
      <c r="C32">
        <f>ROUND(((((C35+C36)/C41)*C29)+(((C37+C38)/C41)*C30)+(((C39+C40)/C41)*C31)),3)</f>
        <v>0.70899999999999996</v>
      </c>
      <c r="D32">
        <f t="shared" ref="D32" si="11">ROUND(((((D35+D36)/D41)*D29)+(((D37+D38)/D41)*D30)+(((D39+D40)/D41)*D31)),3)</f>
        <v>0.69499999999999995</v>
      </c>
      <c r="E32">
        <f t="shared" ref="E32" si="12">ROUND(((((E35+E36)/E41)*E29)+(((E37+E38)/E41)*E30)+(((E39+E40)/E41)*E31)),3)</f>
        <v>0.71</v>
      </c>
      <c r="F32">
        <f t="shared" ref="F32" si="13">ROUND(((((F35+F36)/F41)*F29)+(((F37+F38)/F41)*F30)+(((F39+F40)/F41)*F31)),3)</f>
        <v>0.71</v>
      </c>
      <c r="G32">
        <f t="shared" ref="G32" si="14">ROUND(((((G35+G36)/G41)*G29)+(((G37+G38)/G41)*G30)+(((G39+G40)/G41)*G31)),3)</f>
        <v>0.69399999999999995</v>
      </c>
      <c r="H32">
        <f t="shared" ref="H32" si="15">ROUND(((((H35+H36)/H41)*H29)+(((H37+H38)/H41)*H30)+(((H39+H40)/H41)*H31)),3)</f>
        <v>0.70599999999999996</v>
      </c>
      <c r="I32">
        <f t="shared" ref="I32" si="16">ROUND(((((I35+I36)/I41)*I29)+(((I37+I38)/I41)*I30)+(((I39+I40)/I41)*I31)),3)</f>
        <v>0.70099999999999996</v>
      </c>
    </row>
    <row r="33" spans="1:9" x14ac:dyDescent="0.3">
      <c r="A33" s="8" t="s">
        <v>19</v>
      </c>
      <c r="B33" s="10">
        <f>ROUND((B28-B32),3)</f>
        <v>2.8000000000000001E-2</v>
      </c>
      <c r="C33">
        <f>ROUND((C28-C32),3)</f>
        <v>2E-3</v>
      </c>
      <c r="D33">
        <f t="shared" ref="D33" si="17">ROUND((D28-D32),3)</f>
        <v>1.6E-2</v>
      </c>
      <c r="E33">
        <f t="shared" ref="E33" si="18">ROUND((E28-E32),3)</f>
        <v>1E-3</v>
      </c>
      <c r="F33">
        <f t="shared" ref="F33" si="19">ROUND((F28-F32),3)</f>
        <v>1E-3</v>
      </c>
      <c r="G33">
        <f t="shared" ref="G33" si="20">ROUND((G28-G32),3)</f>
        <v>1.7000000000000001E-2</v>
      </c>
      <c r="H33">
        <f t="shared" ref="H33" si="21">ROUND((H28-H32),3)</f>
        <v>5.0000000000000001E-3</v>
      </c>
      <c r="I33">
        <f t="shared" ref="I33" si="22">ROUND((I28-I32),3)</f>
        <v>0.01</v>
      </c>
    </row>
    <row r="35" spans="1:9" x14ac:dyDescent="0.3">
      <c r="A35" s="8" t="s">
        <v>23</v>
      </c>
      <c r="B35">
        <f>COUNTIFS(TRAIN!A:A,"x",TRAIN!J:J,"positive",TRAIN!E:E,"x")</f>
        <v>144</v>
      </c>
      <c r="C35">
        <f>COUNTIFS(TRAIN!B:B,"x",TRAIN!J:J,"positive",TRAIN!E:E,"x")</f>
        <v>119</v>
      </c>
      <c r="D35">
        <f>COUNTIFS(TRAIN!C:C,"x",TRAIN!J:J,"positive",TRAIN!E:E,"x")</f>
        <v>135</v>
      </c>
      <c r="E35">
        <f>COUNTIFS(TRAIN!D:D,"x",TRAIN!J:J,"positive",TRAIN!E:E,"x")</f>
        <v>111</v>
      </c>
      <c r="F35">
        <f>COUNTIFS(TRAIN!F:F,"x",TRAIN!J:J,"positive",TRAIN!E:E,"x")</f>
        <v>110</v>
      </c>
      <c r="G35">
        <f>COUNTIFS(TRAIN!G:G,"x",TRAIN!J:J,"positive",TRAIN!E:E,"x")</f>
        <v>132</v>
      </c>
      <c r="H35">
        <f>COUNTIFS(TRAIN!H:H,"x",TRAIN!J:J,"positive",TRAIN!E:E,"x")</f>
        <v>113</v>
      </c>
      <c r="I35">
        <f>COUNTIFS(TRAIN!I:I,"x",TRAIN!J:J,"positive",TRAIN!E:E,"x")</f>
        <v>137</v>
      </c>
    </row>
    <row r="36" spans="1:9" x14ac:dyDescent="0.3">
      <c r="A36" s="8" t="s">
        <v>24</v>
      </c>
      <c r="B36">
        <f>COUNTIFS(TRAIN!A:A,"x",TRAIN!J:J,"negative",TRAIN!E:E,"x")</f>
        <v>19</v>
      </c>
      <c r="C36">
        <f>COUNTIFS(TRAIN!B:B,"x",TRAIN!J:J,"negative",TRAIN!E:E,"x")</f>
        <v>25</v>
      </c>
      <c r="D36">
        <f>COUNTIFS(TRAIN!C:C,"x",TRAIN!J:J,"negative",TRAIN!E:E,"x")</f>
        <v>25</v>
      </c>
      <c r="E36">
        <f>COUNTIFS(TRAIN!D:D,"x",TRAIN!J:J,"negative",TRAIN!E:E,"x")</f>
        <v>30</v>
      </c>
      <c r="F36">
        <f>COUNTIFS(TRAIN!F:F,"x",TRAIN!J:J,"negative",TRAIN!E:E,"x")</f>
        <v>30</v>
      </c>
      <c r="G36">
        <f>COUNTIFS(TRAIN!G:G,"x",TRAIN!J:J,"negative",TRAIN!E:E,"x")</f>
        <v>26</v>
      </c>
      <c r="H36">
        <f>COUNTIFS(TRAIN!H:H,"x",TRAIN!J:J,"negative",TRAIN!E:E,"x")</f>
        <v>34</v>
      </c>
      <c r="I36">
        <f>COUNTIFS(TRAIN!I:I,"x",TRAIN!J:J,"negative",TRAIN!E:E,"x")</f>
        <v>28</v>
      </c>
    </row>
    <row r="37" spans="1:9" x14ac:dyDescent="0.3">
      <c r="A37" s="8" t="s">
        <v>25</v>
      </c>
      <c r="B37">
        <f>COUNTIFS(TRAIN!A:A,"b",TRAIN!J:J,"positive",TRAIN!E:E,"x")</f>
        <v>73</v>
      </c>
      <c r="C37">
        <f>COUNTIFS(TRAIN!B:B,"b",TRAIN!J:J,"positive",TRAIN!E:E,"x")</f>
        <v>79</v>
      </c>
      <c r="D37">
        <f>COUNTIFS(TRAIN!C:C,"b",TRAIN!J:J,"positive",TRAIN!E:E,"x")</f>
        <v>84</v>
      </c>
      <c r="E37">
        <f>COUNTIFS(TRAIN!D:D,"b",TRAIN!J:J,"positive",TRAIN!E:E,"x")</f>
        <v>90</v>
      </c>
      <c r="F37">
        <f>COUNTIFS(TRAIN!F:F,"b",TRAIN!J:J,"positive",TRAIN!E:E,"x")</f>
        <v>91</v>
      </c>
      <c r="G37">
        <f>COUNTIFS(TRAIN!G:G,"b",TRAIN!J:J,"positive",TRAIN!E:E,"x")</f>
        <v>87</v>
      </c>
      <c r="H37">
        <f>COUNTIFS(TRAIN!H:H,"b",TRAIN!J:J,"positive",TRAIN!E:E,"x")</f>
        <v>89</v>
      </c>
      <c r="I37">
        <f>COUNTIFS(TRAIN!I:I,"b",TRAIN!J:J,"positive",TRAIN!E:E,"x")</f>
        <v>85</v>
      </c>
    </row>
    <row r="38" spans="1:9" x14ac:dyDescent="0.3">
      <c r="A38" s="8" t="s">
        <v>26</v>
      </c>
      <c r="B38">
        <f>COUNTIFS(TRAIN!A:A,"b",TRAIN!J:J,"negative",TRAIN!E:E,"x")</f>
        <v>14</v>
      </c>
      <c r="C38">
        <f>COUNTIFS(TRAIN!B:B,"b",TRAIN!J:J,"negative",TRAIN!E:E,"x")</f>
        <v>24</v>
      </c>
      <c r="D38">
        <f>COUNTIFS(TRAIN!C:C,"b",TRAIN!J:J,"negative",TRAIN!E:E,"x")</f>
        <v>13</v>
      </c>
      <c r="E38">
        <f>COUNTIFS(TRAIN!D:D,"b",TRAIN!J:J,"negative",TRAIN!E:E,"x")</f>
        <v>19</v>
      </c>
      <c r="F38">
        <f>COUNTIFS(TRAIN!F:F,"b",TRAIN!J:J,"negative",TRAIN!E:E,"x")</f>
        <v>23</v>
      </c>
      <c r="G38">
        <f>COUNTIFS(TRAIN!G:G,"b",TRAIN!J:J,"negative",TRAIN!E:E,"x")</f>
        <v>12</v>
      </c>
      <c r="H38">
        <f>COUNTIFS(TRAIN!H:H,"b",TRAIN!J:J,"negative",TRAIN!E:E,"x")</f>
        <v>22</v>
      </c>
      <c r="I38">
        <f>COUNTIFS(TRAIN!I:I,"b",TRAIN!J:J,"negative",TRAIN!E:E,"x")</f>
        <v>14</v>
      </c>
    </row>
    <row r="39" spans="1:9" x14ac:dyDescent="0.3">
      <c r="A39" s="8" t="s">
        <v>27</v>
      </c>
      <c r="B39">
        <f>COUNTIFS(TRAIN!A:A,"o",TRAIN!J:J,"positive",TRAIN!E:E,"x")</f>
        <v>118</v>
      </c>
      <c r="C39">
        <f>COUNTIFS(TRAIN!B:B,"o",TRAIN!J:J,"positive",TRAIN!E:E,"x")</f>
        <v>137</v>
      </c>
      <c r="D39">
        <f>COUNTIFS(TRAIN!C:C,"o",TRAIN!J:J,"positive",TRAIN!E:E,"x")</f>
        <v>116</v>
      </c>
      <c r="E39">
        <f>COUNTIFS(TRAIN!D:D,"o",TRAIN!J:J,"positive",TRAIN!E:E,"x")</f>
        <v>134</v>
      </c>
      <c r="F39">
        <f>COUNTIFS(TRAIN!F:F,"o",TRAIN!J:J,"positive",TRAIN!E:E,"x")</f>
        <v>134</v>
      </c>
      <c r="G39">
        <f>COUNTIFS(TRAIN!G:G,"o",TRAIN!J:J,"positive",TRAIN!E:E,"x")</f>
        <v>116</v>
      </c>
      <c r="H39">
        <f>COUNTIFS(TRAIN!H:H,"o",TRAIN!J:J,"positive",TRAIN!E:E,"x")</f>
        <v>133</v>
      </c>
      <c r="I39">
        <f>COUNTIFS(TRAIN!I:I,"o",TRAIN!J:J,"positive",TRAIN!E:E,"x")</f>
        <v>113</v>
      </c>
    </row>
    <row r="40" spans="1:9" x14ac:dyDescent="0.3">
      <c r="A40" s="8" t="s">
        <v>28</v>
      </c>
      <c r="B40">
        <f>COUNTIFS(TRAIN!A:A,"o",TRAIN!J:J,"negative",TRAIN!E:E,"x")</f>
        <v>48</v>
      </c>
      <c r="C40">
        <f>COUNTIFS(TRAIN!B:B,"o",TRAIN!J:J,"negative",TRAIN!E:E,"x")</f>
        <v>32</v>
      </c>
      <c r="D40">
        <f>COUNTIFS(TRAIN!C:C,"o",TRAIN!J:J,"negative",TRAIN!E:E,"x")</f>
        <v>43</v>
      </c>
      <c r="E40">
        <f>COUNTIFS(TRAIN!D:D,"o",TRAIN!J:J,"negative",TRAIN!E:E,"x")</f>
        <v>32</v>
      </c>
      <c r="F40">
        <f>COUNTIFS(TRAIN!F:F,"o",TRAIN!J:J,"negative",TRAIN!E:E,"x")</f>
        <v>28</v>
      </c>
      <c r="G40">
        <f>COUNTIFS(TRAIN!G:G,"o",TRAIN!J:J,"negative",TRAIN!E:E,"x")</f>
        <v>43</v>
      </c>
      <c r="H40">
        <f>COUNTIFS(TRAIN!H:H,"o",TRAIN!J:J,"negative",TRAIN!E:E,"x")</f>
        <v>25</v>
      </c>
      <c r="I40">
        <f>COUNTIFS(TRAIN!I:I,"o",TRAIN!J:J,"negative",TRAIN!E:E,"x")</f>
        <v>39</v>
      </c>
    </row>
    <row r="41" spans="1:9" x14ac:dyDescent="0.3">
      <c r="A41" s="8" t="s">
        <v>22</v>
      </c>
      <c r="B41">
        <f>B35+B36+B37+B38+B39+B40</f>
        <v>416</v>
      </c>
      <c r="C41">
        <f>C35+C36+C37+C38+C39+C40</f>
        <v>416</v>
      </c>
      <c r="D41">
        <f t="shared" ref="D41" si="23">D35+D36+D37+D38+D39+D40</f>
        <v>416</v>
      </c>
      <c r="E41">
        <f t="shared" ref="E41" si="24">E35+E36+E37+E38+E39+E40</f>
        <v>416</v>
      </c>
      <c r="F41">
        <f t="shared" ref="F41" si="25">F35+F36+F37+F38+F39+F40</f>
        <v>416</v>
      </c>
      <c r="G41">
        <f t="shared" ref="G41" si="26">G35+G36+G37+G38+G39+G40</f>
        <v>416</v>
      </c>
      <c r="H41">
        <f t="shared" ref="H41" si="27">H35+H36+H37+H38+H39+H40</f>
        <v>416</v>
      </c>
      <c r="I41">
        <f t="shared" ref="I41" si="28">I35+I36+I37+I38+I39+I40</f>
        <v>416</v>
      </c>
    </row>
    <row r="43" spans="1:9" x14ac:dyDescent="0.3">
      <c r="A43" s="8" t="s">
        <v>20</v>
      </c>
      <c r="B43">
        <f>COUNTIFS(TRAIN!E:E,"x",TRAIN!J:J,"positive")</f>
        <v>335</v>
      </c>
    </row>
    <row r="44" spans="1:9" x14ac:dyDescent="0.3">
      <c r="A44" s="8" t="s">
        <v>21</v>
      </c>
      <c r="B44">
        <f>COUNTIFS(TRAIN!E:E,"x",TRAIN!J:J,"negative")</f>
        <v>81</v>
      </c>
    </row>
    <row r="45" spans="1:9" x14ac:dyDescent="0.3">
      <c r="A45" s="8" t="s">
        <v>22</v>
      </c>
      <c r="B45">
        <f>B43+B44</f>
        <v>416</v>
      </c>
    </row>
    <row r="52" spans="1:8" ht="15.6" x14ac:dyDescent="0.3">
      <c r="A52" s="16" t="s">
        <v>55</v>
      </c>
      <c r="B52" s="16"/>
    </row>
    <row r="54" spans="1:8" x14ac:dyDescent="0.3">
      <c r="B54" s="9" t="s">
        <v>13</v>
      </c>
      <c r="C54" s="9" t="s">
        <v>12</v>
      </c>
      <c r="D54" s="9" t="s">
        <v>11</v>
      </c>
      <c r="E54" s="9" t="s">
        <v>9</v>
      </c>
      <c r="F54" s="9" t="s">
        <v>8</v>
      </c>
      <c r="G54" s="9" t="s">
        <v>7</v>
      </c>
      <c r="H54" s="9" t="s">
        <v>6</v>
      </c>
    </row>
    <row r="55" spans="1:8" x14ac:dyDescent="0.3">
      <c r="A55" s="8" t="s">
        <v>14</v>
      </c>
      <c r="B55">
        <f>ROUND((((B70/B72)*LOG(B70/B72,2))+((B71/B72)*LOG(B71/B72,2)))*-1,3)</f>
        <v>0.84799999999999998</v>
      </c>
      <c r="C55">
        <f t="shared" ref="C55" si="29">B55</f>
        <v>0.84799999999999998</v>
      </c>
      <c r="D55">
        <f>C55</f>
        <v>0.84799999999999998</v>
      </c>
      <c r="E55">
        <f>D55</f>
        <v>0.84799999999999998</v>
      </c>
      <c r="F55">
        <f>E55</f>
        <v>0.84799999999999998</v>
      </c>
      <c r="G55">
        <f>F55</f>
        <v>0.84799999999999998</v>
      </c>
      <c r="H55">
        <f>G55</f>
        <v>0.84799999999999998</v>
      </c>
    </row>
    <row r="56" spans="1:8" x14ac:dyDescent="0.3">
      <c r="A56" s="8" t="s">
        <v>15</v>
      </c>
      <c r="B56">
        <f t="shared" ref="B56:H56" si="30">ROUND((((B62/(B62+B63))*LOG(B62/(B62+B63),2))+((B63/(B62+B63))*LOG(B63/(B62+B63),2)))*-1,3)</f>
        <v>0.89900000000000002</v>
      </c>
      <c r="C56">
        <f t="shared" si="30"/>
        <v>0.56399999999999995</v>
      </c>
      <c r="D56">
        <f t="shared" si="30"/>
        <v>0.93899999999999995</v>
      </c>
      <c r="E56">
        <f t="shared" si="30"/>
        <v>0.97099999999999997</v>
      </c>
      <c r="F56">
        <f t="shared" si="30"/>
        <v>0.68100000000000005</v>
      </c>
      <c r="G56">
        <f t="shared" si="30"/>
        <v>0.95899999999999996</v>
      </c>
      <c r="H56">
        <f t="shared" si="30"/>
        <v>0.67800000000000005</v>
      </c>
    </row>
    <row r="57" spans="1:8" x14ac:dyDescent="0.3">
      <c r="A57" s="8" t="s">
        <v>16</v>
      </c>
      <c r="B57">
        <f t="shared" ref="B57:H57" si="31">ROUND((((B64/(B65+B64))*LOG(B64/(B65+B64),2))+((B65/(B64+B65))*LOG(B65/(B64+B65),2)))*-1,3)</f>
        <v>0.91800000000000004</v>
      </c>
      <c r="C57">
        <f t="shared" si="31"/>
        <v>0.877</v>
      </c>
      <c r="D57">
        <f t="shared" si="31"/>
        <v>0.85199999999999998</v>
      </c>
      <c r="E57">
        <f t="shared" si="31"/>
        <v>0.77600000000000002</v>
      </c>
      <c r="F57">
        <f t="shared" si="31"/>
        <v>0.85499999999999998</v>
      </c>
      <c r="G57">
        <f t="shared" si="31"/>
        <v>0.746</v>
      </c>
      <c r="H57">
        <f t="shared" si="31"/>
        <v>0.77900000000000003</v>
      </c>
    </row>
    <row r="58" spans="1:8" x14ac:dyDescent="0.3">
      <c r="A58" s="8" t="s">
        <v>17</v>
      </c>
      <c r="B58">
        <f t="shared" ref="B58:H58" si="32">ROUND((((B66/(B67+B66))*LOG(B66/(B67+B66),2))+((B67/(B66+B67))*LOG(B67/(B66+B67),2)))*-1,3)</f>
        <v>0.73599999999999999</v>
      </c>
      <c r="C58">
        <f t="shared" si="32"/>
        <v>0.997</v>
      </c>
      <c r="D58">
        <f t="shared" si="32"/>
        <v>0.65800000000000003</v>
      </c>
      <c r="E58">
        <f t="shared" si="32"/>
        <v>0.66500000000000004</v>
      </c>
      <c r="F58">
        <f t="shared" si="32"/>
        <v>0.98199999999999998</v>
      </c>
      <c r="G58">
        <f t="shared" si="32"/>
        <v>0.72899999999999998</v>
      </c>
      <c r="H58">
        <f t="shared" si="32"/>
        <v>0.98499999999999999</v>
      </c>
    </row>
    <row r="59" spans="1:8" x14ac:dyDescent="0.3">
      <c r="A59" s="8" t="s">
        <v>18</v>
      </c>
      <c r="B59">
        <f>ROUND(((((B62+B63)/B68)*B56)+(((B64+B65)/B68)*B57)+(((B66+B67)/B68)*B58)),3)</f>
        <v>0.83599999999999997</v>
      </c>
      <c r="C59">
        <f t="shared" ref="C59" si="33">ROUND(((((C62+C63)/C68)*C56)+(((C64+C65)/C68)*C57)+(((C66+C67)/C68)*C58)),3)</f>
        <v>0.76700000000000002</v>
      </c>
      <c r="D59">
        <f t="shared" ref="D59" si="34">ROUND(((((D62+D63)/D68)*D56)+(((D64+D65)/D68)*D57)+(((D66+D67)/D68)*D58)),3)</f>
        <v>0.82399999999999995</v>
      </c>
      <c r="E59">
        <f t="shared" ref="E59" si="35">ROUND(((((E62+E63)/E68)*E56)+(((E64+E65)/E68)*E57)+(((E66+E67)/E68)*E58)),3)</f>
        <v>0.81100000000000005</v>
      </c>
      <c r="F59">
        <f t="shared" ref="F59" si="36">ROUND(((((F62+F63)/F68)*F56)+(((F64+F65)/F68)*F57)+(((F66+F67)/F68)*F58)),3)</f>
        <v>0.80700000000000005</v>
      </c>
      <c r="G59">
        <f t="shared" ref="G59" si="37">ROUND(((((G62+G63)/G68)*G56)+(((G64+G65)/G68)*G57)+(((G66+G67)/G68)*G58)),3)</f>
        <v>0.82199999999999995</v>
      </c>
      <c r="H59">
        <f t="shared" ref="H59" si="38">ROUND(((((H62+H63)/H68)*H56)+(((H64+H65)/H68)*H57)+(((H66+H67)/H68)*H58)),3)</f>
        <v>0.80200000000000005</v>
      </c>
    </row>
    <row r="60" spans="1:8" x14ac:dyDescent="0.3">
      <c r="A60" s="8" t="s">
        <v>19</v>
      </c>
      <c r="B60">
        <f>ROUND((B55-B59),3)</f>
        <v>1.2E-2</v>
      </c>
      <c r="C60" s="10">
        <f>ROUND((C55-C59),3)</f>
        <v>8.1000000000000003E-2</v>
      </c>
      <c r="D60">
        <f t="shared" ref="D60" si="39">ROUND((D55-D59),3)</f>
        <v>2.4E-2</v>
      </c>
      <c r="E60">
        <f t="shared" ref="E60" si="40">ROUND((E55-E59),3)</f>
        <v>3.6999999999999998E-2</v>
      </c>
      <c r="F60">
        <f t="shared" ref="F60" si="41">ROUND((F55-F59),3)</f>
        <v>4.1000000000000002E-2</v>
      </c>
      <c r="G60">
        <f t="shared" ref="G60" si="42">ROUND((G55-G59),3)</f>
        <v>2.5999999999999999E-2</v>
      </c>
      <c r="H60">
        <f>ROUND((H55-H59),3)</f>
        <v>4.5999999999999999E-2</v>
      </c>
    </row>
    <row r="62" spans="1:8" x14ac:dyDescent="0.3">
      <c r="A62" s="8" t="s">
        <v>23</v>
      </c>
      <c r="B62">
        <f>COUNTIFS(TRAIN!B:B,"x",TRAIN!J:J,"positive",TRAIN!E:E,"b")</f>
        <v>37</v>
      </c>
      <c r="C62">
        <f>COUNTIFS(TRAIN!C:C,"x",TRAIN!J:J,"positive",TRAIN!E:E,"b")</f>
        <v>59</v>
      </c>
      <c r="D62">
        <f>COUNTIFS(TRAIN!D:D,"x",TRAIN!J:J,"positive",TRAIN!E:E,"b")</f>
        <v>38</v>
      </c>
      <c r="E62">
        <f>COUNTIFS(TRAIN!F:F,"x",TRAIN!J:J,"positive",TRAIN!E:E,"b")</f>
        <v>33</v>
      </c>
      <c r="F62">
        <f>COUNTIFS(TRAIN!G:G,"x",TRAIN!J:J,"positive",TRAIN!E:E,"b")</f>
        <v>59</v>
      </c>
      <c r="G62">
        <f>COUNTIFS(TRAIN!H:H,"x",TRAIN!J:J,"positive",TRAIN!E:E,"b")</f>
        <v>34</v>
      </c>
      <c r="H62">
        <f>COUNTIFS(TRAIN!I:I,"x",TRAIN!J:J,"positive",TRAIN!E:E,"b")</f>
        <v>55</v>
      </c>
    </row>
    <row r="63" spans="1:8" x14ac:dyDescent="0.3">
      <c r="A63" s="8" t="s">
        <v>24</v>
      </c>
      <c r="B63">
        <f>COUNTIFS(TRAIN!B:B,"x",TRAIN!J:J,"negative",TRAIN!E:E,"b")</f>
        <v>17</v>
      </c>
      <c r="C63">
        <f>COUNTIFS(TRAIN!C:C,"x",TRAIN!J:J,"negative",TRAIN!E:E,"b")</f>
        <v>9</v>
      </c>
      <c r="D63">
        <f>COUNTIFS(TRAIN!D:D,"x",TRAIN!J:J,"negative",TRAIN!E:E,"b")</f>
        <v>21</v>
      </c>
      <c r="E63">
        <f>COUNTIFS(TRAIN!F:F,"x",TRAIN!J:J,"negative",TRAIN!E:E,"b")</f>
        <v>22</v>
      </c>
      <c r="F63">
        <f>COUNTIFS(TRAIN!G:G,"x",TRAIN!J:J,"negative",TRAIN!E:E,"b")</f>
        <v>13</v>
      </c>
      <c r="G63">
        <f>COUNTIFS(TRAIN!H:H,"x",TRAIN!J:J,"negative",TRAIN!E:E,"b")</f>
        <v>21</v>
      </c>
      <c r="H63">
        <f>COUNTIFS(TRAIN!I:I,"x",TRAIN!J:J,"negative",TRAIN!E:E,"b")</f>
        <v>12</v>
      </c>
    </row>
    <row r="64" spans="1:8" x14ac:dyDescent="0.3">
      <c r="A64" s="8" t="s">
        <v>25</v>
      </c>
      <c r="B64">
        <f>COUNTIFS(TRAIN!B:B,"b",TRAIN!J:J,"positive",TRAIN!E:E,"b")</f>
        <v>20</v>
      </c>
      <c r="C64">
        <f>COUNTIFS(TRAIN!C:C,"b",TRAIN!J:J,"positive",TRAIN!E:E,"b")</f>
        <v>19</v>
      </c>
      <c r="D64">
        <f>COUNTIFS(TRAIN!D:D,"b",TRAIN!J:J,"positive",TRAIN!E:E,"b")</f>
        <v>26</v>
      </c>
      <c r="E64">
        <f>COUNTIFS(TRAIN!F:F,"b",TRAIN!J:J,"positive",TRAIN!E:E,"b")</f>
        <v>27</v>
      </c>
      <c r="F64">
        <f>COUNTIFS(TRAIN!G:G,"b",TRAIN!J:J,"positive",TRAIN!E:E,"b")</f>
        <v>18</v>
      </c>
      <c r="G64">
        <f>COUNTIFS(TRAIN!H:H,"b",TRAIN!J:J,"positive",TRAIN!E:E,"b")</f>
        <v>26</v>
      </c>
      <c r="H64">
        <f>COUNTIFS(TRAIN!I:I,"b",TRAIN!J:J,"positive",TRAIN!E:E,"b")</f>
        <v>20</v>
      </c>
    </row>
    <row r="65" spans="1:8" x14ac:dyDescent="0.3">
      <c r="A65" s="8" t="s">
        <v>26</v>
      </c>
      <c r="B65">
        <f>COUNTIFS(TRAIN!B:B,"b",TRAIN!J:J,"negative",TRAIN!E:E,"b")</f>
        <v>10</v>
      </c>
      <c r="C65">
        <f>COUNTIFS(TRAIN!C:C,"b",TRAIN!J:J,"negative",TRAIN!E:E,"b")</f>
        <v>8</v>
      </c>
      <c r="D65">
        <f>COUNTIFS(TRAIN!D:D,"b",TRAIN!J:J,"negative",TRAIN!E:E,"b")</f>
        <v>10</v>
      </c>
      <c r="E65">
        <f>COUNTIFS(TRAIN!F:F,"b",TRAIN!J:J,"negative",TRAIN!E:E,"b")</f>
        <v>8</v>
      </c>
      <c r="F65">
        <f>COUNTIFS(TRAIN!G:G,"b",TRAIN!J:J,"negative",TRAIN!E:E,"b")</f>
        <v>7</v>
      </c>
      <c r="G65">
        <f>COUNTIFS(TRAIN!H:H,"b",TRAIN!J:J,"negative",TRAIN!E:E,"b")</f>
        <v>7</v>
      </c>
      <c r="H65">
        <f>COUNTIFS(TRAIN!I:I,"b",TRAIN!J:J,"negative",TRAIN!E:E,"b")</f>
        <v>6</v>
      </c>
    </row>
    <row r="66" spans="1:8" x14ac:dyDescent="0.3">
      <c r="A66" s="8" t="s">
        <v>27</v>
      </c>
      <c r="B66">
        <f>COUNTIFS(TRAIN!B:B,"o",TRAIN!J:J,"positive",TRAIN!E:E,"b")</f>
        <v>46</v>
      </c>
      <c r="C66">
        <f>COUNTIFS(TRAIN!C:C,"o",TRAIN!J:J,"positive",TRAIN!E:E,"b")</f>
        <v>25</v>
      </c>
      <c r="D66">
        <f>COUNTIFS(TRAIN!D:D,"o",TRAIN!J:J,"positive",TRAIN!E:E,"b")</f>
        <v>39</v>
      </c>
      <c r="E66">
        <f>COUNTIFS(TRAIN!F:F,"o",TRAIN!J:J,"positive",TRAIN!E:E,"b")</f>
        <v>43</v>
      </c>
      <c r="F66">
        <f>COUNTIFS(TRAIN!G:G,"o",TRAIN!J:J,"positive",TRAIN!E:E,"b")</f>
        <v>26</v>
      </c>
      <c r="G66">
        <f>COUNTIFS(TRAIN!H:H,"o",TRAIN!J:J,"positive",TRAIN!E:E,"b")</f>
        <v>43</v>
      </c>
      <c r="H66">
        <f>COUNTIFS(TRAIN!I:I,"o",TRAIN!J:J,"positive",TRAIN!E:E,"b")</f>
        <v>28</v>
      </c>
    </row>
    <row r="67" spans="1:8" x14ac:dyDescent="0.3">
      <c r="A67" s="8" t="s">
        <v>28</v>
      </c>
      <c r="B67">
        <f>COUNTIFS(TRAIN!B:B,"o",TRAIN!J:J,"negative",TRAIN!E:E,"b")</f>
        <v>12</v>
      </c>
      <c r="C67">
        <f>COUNTIFS(TRAIN!C:C,"o",TRAIN!J:J,"negative",TRAIN!E:E,"b")</f>
        <v>22</v>
      </c>
      <c r="D67">
        <f>COUNTIFS(TRAIN!D:D,"o",TRAIN!J:J,"negative",TRAIN!E:E,"b")</f>
        <v>8</v>
      </c>
      <c r="E67">
        <f>COUNTIFS(TRAIN!F:F,"o",TRAIN!J:J,"negative",TRAIN!E:E,"b")</f>
        <v>9</v>
      </c>
      <c r="F67">
        <f>COUNTIFS(TRAIN!G:G,"o",TRAIN!J:J,"negative",TRAIN!E:E,"b")</f>
        <v>19</v>
      </c>
      <c r="G67">
        <f>COUNTIFS(TRAIN!H:H,"o",TRAIN!J:J,"negative",TRAIN!E:E,"b")</f>
        <v>11</v>
      </c>
      <c r="H67">
        <f>COUNTIFS(TRAIN!I:I,"o",TRAIN!J:J,"negative",TRAIN!E:E,"b")</f>
        <v>21</v>
      </c>
    </row>
    <row r="68" spans="1:8" x14ac:dyDescent="0.3">
      <c r="A68" s="8" t="s">
        <v>22</v>
      </c>
      <c r="B68">
        <f>B62+B63+B64+B65+B66+B67</f>
        <v>142</v>
      </c>
      <c r="C68">
        <f t="shared" ref="C68" si="43">C62+C63+C64+C65+C66+C67</f>
        <v>142</v>
      </c>
      <c r="D68">
        <f t="shared" ref="D68" si="44">D62+D63+D64+D65+D66+D67</f>
        <v>142</v>
      </c>
      <c r="E68">
        <f t="shared" ref="E68" si="45">E62+E63+E64+E65+E66+E67</f>
        <v>142</v>
      </c>
      <c r="F68">
        <f t="shared" ref="F68" si="46">F62+F63+F64+F65+F66+F67</f>
        <v>142</v>
      </c>
      <c r="G68">
        <f t="shared" ref="G68" si="47">G62+G63+G64+G65+G66+G67</f>
        <v>142</v>
      </c>
      <c r="H68">
        <f t="shared" ref="H68" si="48">H62+H63+H64+H65+H66+H67</f>
        <v>142</v>
      </c>
    </row>
    <row r="70" spans="1:8" x14ac:dyDescent="0.3">
      <c r="A70" s="8" t="s">
        <v>20</v>
      </c>
      <c r="B70">
        <f>COUNTIFS(TRAIN!E:E,"b",TRAIN!J:J,"positive")</f>
        <v>103</v>
      </c>
    </row>
    <row r="71" spans="1:8" x14ac:dyDescent="0.3">
      <c r="A71" s="8" t="s">
        <v>21</v>
      </c>
      <c r="B71">
        <f>COUNTIFS(TRAIN!E:E,"b",TRAIN!J:J,"negative")</f>
        <v>39</v>
      </c>
    </row>
    <row r="72" spans="1:8" x14ac:dyDescent="0.3">
      <c r="A72" s="8" t="s">
        <v>22</v>
      </c>
      <c r="B72">
        <f>B70+B71</f>
        <v>142</v>
      </c>
    </row>
    <row r="73" spans="1:8" x14ac:dyDescent="0.3">
      <c r="A73" s="8"/>
    </row>
    <row r="79" spans="1:8" ht="15.6" x14ac:dyDescent="0.3">
      <c r="A79" s="16" t="s">
        <v>56</v>
      </c>
      <c r="B79" s="16"/>
    </row>
    <row r="81" spans="1:9" x14ac:dyDescent="0.3">
      <c r="B81" s="9" t="s">
        <v>13</v>
      </c>
      <c r="C81" s="9" t="s">
        <v>11</v>
      </c>
      <c r="D81" s="9" t="s">
        <v>9</v>
      </c>
      <c r="E81" s="9" t="s">
        <v>8</v>
      </c>
      <c r="F81" s="9" t="s">
        <v>7</v>
      </c>
      <c r="G81" s="9" t="s">
        <v>6</v>
      </c>
      <c r="H81" s="9"/>
      <c r="I81" s="9"/>
    </row>
    <row r="82" spans="1:9" x14ac:dyDescent="0.3">
      <c r="A82" s="8" t="s">
        <v>14</v>
      </c>
      <c r="B82">
        <f>ROUND((((B97/B99)*LOG(B97/B99,2))+((B98/B99)*LOG(B98/B99,2)))*-1,3)</f>
        <v>0.995</v>
      </c>
      <c r="C82">
        <f>B82</f>
        <v>0.995</v>
      </c>
      <c r="D82">
        <f>C82</f>
        <v>0.995</v>
      </c>
      <c r="E82">
        <f>D82</f>
        <v>0.995</v>
      </c>
      <c r="F82">
        <f>E82</f>
        <v>0.995</v>
      </c>
      <c r="G82">
        <f>F82</f>
        <v>0.995</v>
      </c>
    </row>
    <row r="83" spans="1:9" x14ac:dyDescent="0.3">
      <c r="A83" s="8" t="s">
        <v>15</v>
      </c>
      <c r="B83">
        <f t="shared" ref="B83:G83" si="49">ROUND((((B89/(B89+B90))*LOG(B89/(B89+B90),2))+((B90/(B89+B90))*LOG(B90/(B89+B90),2)))*-1,3)</f>
        <v>0.996</v>
      </c>
      <c r="C83">
        <f t="shared" si="49"/>
        <v>0.98399999999999999</v>
      </c>
      <c r="D83">
        <f t="shared" si="49"/>
        <v>0.96799999999999997</v>
      </c>
      <c r="E83">
        <f t="shared" si="49"/>
        <v>0.999</v>
      </c>
      <c r="F83">
        <f t="shared" si="49"/>
        <v>0.96599999999999997</v>
      </c>
      <c r="G83">
        <f t="shared" si="49"/>
        <v>0.999</v>
      </c>
    </row>
    <row r="84" spans="1:9" x14ac:dyDescent="0.3">
      <c r="A84" s="8" t="s">
        <v>16</v>
      </c>
      <c r="B84">
        <f t="shared" ref="B84:G84" si="50">ROUND((((B91/(B92+B91))*LOG(B91/(B92+B91),2))+((B92/(B91+B92))*LOG(B92/(B91+B92),2)))*-1,3)</f>
        <v>0.99</v>
      </c>
      <c r="C84">
        <f t="shared" si="50"/>
        <v>0.99199999999999999</v>
      </c>
      <c r="D84">
        <f t="shared" si="50"/>
        <v>0.99399999999999999</v>
      </c>
      <c r="E84">
        <f t="shared" si="50"/>
        <v>0.98599999999999999</v>
      </c>
      <c r="F84">
        <f t="shared" si="50"/>
        <v>0.98699999999999999</v>
      </c>
      <c r="G84">
        <f t="shared" si="50"/>
        <v>0.997</v>
      </c>
    </row>
    <row r="85" spans="1:9" x14ac:dyDescent="0.3">
      <c r="A85" s="8" t="s">
        <v>17</v>
      </c>
      <c r="B85">
        <f t="shared" ref="B85:G85" si="51">ROUND((((B93/(B94+B93))*LOG(B93/(B94+B93),2))+((B94/(B93+B94))*LOG(B94/(B93+B94),2)))*-1,3)</f>
        <v>0.997</v>
      </c>
      <c r="C85">
        <f t="shared" si="51"/>
        <v>0.98399999999999999</v>
      </c>
      <c r="D85">
        <f t="shared" si="51"/>
        <v>0.999</v>
      </c>
      <c r="E85">
        <f t="shared" si="51"/>
        <v>0.95</v>
      </c>
      <c r="F85">
        <f t="shared" si="51"/>
        <v>0.996</v>
      </c>
      <c r="G85">
        <f t="shared" si="51"/>
        <v>0.94499999999999995</v>
      </c>
    </row>
    <row r="86" spans="1:9" x14ac:dyDescent="0.3">
      <c r="A86" s="8" t="s">
        <v>18</v>
      </c>
      <c r="B86">
        <f>ROUND(((((B89+B90)/B95)*B83)+(((B91+B92)/B95)*B84)+(((B93+B94)/B95)*B85)),3)</f>
        <v>0.995</v>
      </c>
      <c r="C86">
        <f t="shared" ref="C86:G86" si="52">ROUND(((((C89+C90)/C95)*C83)+(((C91+C92)/C95)*C84)+(((C93+C94)/C95)*C85)),3)</f>
        <v>0.98599999999999999</v>
      </c>
      <c r="D86">
        <f t="shared" si="52"/>
        <v>0.98299999999999998</v>
      </c>
      <c r="E86">
        <f t="shared" si="52"/>
        <v>0.98199999999999998</v>
      </c>
      <c r="F86">
        <f t="shared" si="52"/>
        <v>0.98</v>
      </c>
      <c r="G86">
        <f t="shared" si="52"/>
        <v>0.98199999999999998</v>
      </c>
    </row>
    <row r="87" spans="1:9" x14ac:dyDescent="0.3">
      <c r="A87" s="8" t="s">
        <v>19</v>
      </c>
      <c r="B87">
        <f>ROUND((B82-B86),3)</f>
        <v>0</v>
      </c>
      <c r="C87">
        <f t="shared" ref="C87:F87" si="53">ROUND((C82-C86),3)</f>
        <v>8.9999999999999993E-3</v>
      </c>
      <c r="D87">
        <f t="shared" si="53"/>
        <v>1.2E-2</v>
      </c>
      <c r="E87">
        <f t="shared" si="53"/>
        <v>1.2999999999999999E-2</v>
      </c>
      <c r="F87" s="10">
        <f t="shared" si="53"/>
        <v>1.4999999999999999E-2</v>
      </c>
      <c r="G87">
        <f>ROUND((G82-G86),3)</f>
        <v>1.2999999999999999E-2</v>
      </c>
    </row>
    <row r="89" spans="1:9" x14ac:dyDescent="0.3">
      <c r="A89" s="8" t="s">
        <v>23</v>
      </c>
      <c r="B89">
        <f>COUNTIFS(TRAIN!B:B,"x",TRAIN!J:J,"positive",TRAIN!E:E,"o")</f>
        <v>59</v>
      </c>
      <c r="C89">
        <f>COUNTIFS(TRAIN!D:D,"x",TRAIN!J:J,"positive",TRAIN!E:E,"o")</f>
        <v>60</v>
      </c>
      <c r="D89">
        <f>COUNTIFS(TRAIN!F:F,"x",TRAIN!J:J,"positive",TRAIN!E:E,"o")</f>
        <v>53</v>
      </c>
      <c r="E89">
        <f>COUNTIFS(TRAIN!G:G,"x",TRAIN!J:J,"positive",TRAIN!E:E,"o")</f>
        <v>77</v>
      </c>
      <c r="F89">
        <f>COUNTIFS(TRAIN!H:H,"x",TRAIN!J:J,"positive",TRAIN!E:E,"o")</f>
        <v>51</v>
      </c>
      <c r="G89">
        <f>COUNTIFS(TRAIN!I:I,"x",TRAIN!J:J,"positive",TRAIN!E:E,"o")</f>
        <v>72</v>
      </c>
    </row>
    <row r="90" spans="1:9" x14ac:dyDescent="0.3">
      <c r="A90" s="8" t="s">
        <v>24</v>
      </c>
      <c r="B90">
        <f>COUNTIFS(TRAIN!B:B,"x",TRAIN!J:J,"negative",TRAIN!E:E,"o")</f>
        <v>68</v>
      </c>
      <c r="C90">
        <f>COUNTIFS(TRAIN!D:D,"x",TRAIN!J:J,"negative",TRAIN!E:E,"o")</f>
        <v>81</v>
      </c>
      <c r="D90">
        <f>COUNTIFS(TRAIN!F:F,"x",TRAIN!J:J,"negative",TRAIN!E:E,"o")</f>
        <v>81</v>
      </c>
      <c r="E90">
        <f>COUNTIFS(TRAIN!G:G,"x",TRAIN!J:J,"negative",TRAIN!E:E,"o")</f>
        <v>71</v>
      </c>
      <c r="F90">
        <f>COUNTIFS(TRAIN!H:H,"x",TRAIN!J:J,"negative",TRAIN!E:E,"o")</f>
        <v>79</v>
      </c>
      <c r="G90">
        <f>COUNTIFS(TRAIN!I:I,"x",TRAIN!J:J,"negative",TRAIN!E:E,"o")</f>
        <v>67</v>
      </c>
    </row>
    <row r="91" spans="1:9" x14ac:dyDescent="0.3">
      <c r="A91" s="8" t="s">
        <v>25</v>
      </c>
      <c r="B91">
        <f>COUNTIFS(TRAIN!B:B,"b",TRAIN!J:J,"positive",TRAIN!E:E,"o")</f>
        <v>33</v>
      </c>
      <c r="C91">
        <f>COUNTIFS(TRAIN!D:D,"b",TRAIN!J:J,"positive",TRAIN!E:E,"o")</f>
        <v>41</v>
      </c>
      <c r="D91">
        <f>COUNTIFS(TRAIN!F:F,"b",TRAIN!J:J,"positive",TRAIN!E:E,"o")</f>
        <v>42</v>
      </c>
      <c r="E91">
        <f>COUNTIFS(TRAIN!G:G,"b",TRAIN!J:J,"positive",TRAIN!E:E,"o")</f>
        <v>25</v>
      </c>
      <c r="F91">
        <f>COUNTIFS(TRAIN!H:H,"b",TRAIN!J:J,"positive",TRAIN!E:E,"o")</f>
        <v>43</v>
      </c>
      <c r="G91">
        <f>COUNTIFS(TRAIN!I:I,"b",TRAIN!J:J,"positive",TRAIN!E:E,"o")</f>
        <v>28</v>
      </c>
    </row>
    <row r="92" spans="1:9" x14ac:dyDescent="0.3">
      <c r="A92" s="8" t="s">
        <v>26</v>
      </c>
      <c r="B92">
        <f>COUNTIFS(TRAIN!B:B,"b",TRAIN!J:J,"negative",TRAIN!E:E,"o")</f>
        <v>42</v>
      </c>
      <c r="C92">
        <f>COUNTIFS(TRAIN!D:D,"b",TRAIN!J:J,"negative",TRAIN!E:E,"o")</f>
        <v>33</v>
      </c>
      <c r="D92">
        <f>COUNTIFS(TRAIN!F:F,"b",TRAIN!J:J,"negative",TRAIN!E:E,"o")</f>
        <v>35</v>
      </c>
      <c r="E92">
        <f>COUNTIFS(TRAIN!G:G,"b",TRAIN!J:J,"negative",TRAIN!E:E,"o")</f>
        <v>33</v>
      </c>
      <c r="F92">
        <f>COUNTIFS(TRAIN!H:H,"b",TRAIN!J:J,"negative",TRAIN!E:E,"o")</f>
        <v>33</v>
      </c>
      <c r="G92">
        <f>COUNTIFS(TRAIN!I:I,"b",TRAIN!J:J,"negative",TRAIN!E:E,"o")</f>
        <v>32</v>
      </c>
    </row>
    <row r="93" spans="1:9" x14ac:dyDescent="0.3">
      <c r="A93" s="8" t="s">
        <v>27</v>
      </c>
      <c r="B93">
        <f>COUNTIFS(TRAIN!B:B,"o",TRAIN!J:J,"positive",TRAIN!E:E,"o")</f>
        <v>41</v>
      </c>
      <c r="C93">
        <f>COUNTIFS(TRAIN!D:D,"o",TRAIN!J:J,"positive",TRAIN!E:E,"o")</f>
        <v>32</v>
      </c>
      <c r="D93">
        <f>COUNTIFS(TRAIN!F:F,"o",TRAIN!J:J,"positive",TRAIN!E:E,"o")</f>
        <v>38</v>
      </c>
      <c r="E93">
        <f>COUNTIFS(TRAIN!G:G,"o",TRAIN!J:J,"positive",TRAIN!E:E,"o")</f>
        <v>31</v>
      </c>
      <c r="F93">
        <f>COUNTIFS(TRAIN!H:H,"o",TRAIN!J:J,"positive",TRAIN!E:E,"o")</f>
        <v>39</v>
      </c>
      <c r="G93">
        <f>COUNTIFS(TRAIN!I:I,"o",TRAIN!J:J,"positive",TRAIN!E:E,"o")</f>
        <v>33</v>
      </c>
    </row>
    <row r="94" spans="1:9" x14ac:dyDescent="0.3">
      <c r="A94" s="8" t="s">
        <v>28</v>
      </c>
      <c r="B94">
        <f>COUNTIFS(TRAIN!B:B,"o",TRAIN!J:J,"negative",TRAIN!E:E,"o")</f>
        <v>47</v>
      </c>
      <c r="C94">
        <f>COUNTIFS(TRAIN!D:D,"o",TRAIN!J:J,"negative",TRAIN!E:E,"o")</f>
        <v>43</v>
      </c>
      <c r="D94">
        <f>COUNTIFS(TRAIN!F:F,"o",TRAIN!J:J,"negative",TRAIN!E:E,"o")</f>
        <v>41</v>
      </c>
      <c r="E94">
        <f>COUNTIFS(TRAIN!G:G,"o",TRAIN!J:J,"negative",TRAIN!E:E,"o")</f>
        <v>53</v>
      </c>
      <c r="F94">
        <f>COUNTIFS(TRAIN!H:H,"o",TRAIN!J:J,"negative",TRAIN!E:E,"o")</f>
        <v>45</v>
      </c>
      <c r="G94">
        <f>COUNTIFS(TRAIN!I:I,"o",TRAIN!J:J,"negative",TRAIN!E:E,"o")</f>
        <v>58</v>
      </c>
    </row>
    <row r="95" spans="1:9" x14ac:dyDescent="0.3">
      <c r="A95" s="8" t="s">
        <v>22</v>
      </c>
      <c r="B95">
        <f>B89+B90+B91+B92+B93+B94</f>
        <v>290</v>
      </c>
      <c r="C95">
        <f t="shared" ref="C95:G95" si="54">C89+C90+C91+C92+C93+C94</f>
        <v>290</v>
      </c>
      <c r="D95">
        <f t="shared" si="54"/>
        <v>290</v>
      </c>
      <c r="E95">
        <f t="shared" si="54"/>
        <v>290</v>
      </c>
      <c r="F95">
        <f t="shared" si="54"/>
        <v>290</v>
      </c>
      <c r="G95">
        <f t="shared" si="54"/>
        <v>290</v>
      </c>
    </row>
    <row r="97" spans="1:8" x14ac:dyDescent="0.3">
      <c r="A97" s="8" t="s">
        <v>20</v>
      </c>
      <c r="B97">
        <f>COUNTIFS(TRAIN!E:E,"o",TRAIN!J:J,"positive")</f>
        <v>133</v>
      </c>
    </row>
    <row r="98" spans="1:8" x14ac:dyDescent="0.3">
      <c r="A98" s="8" t="s">
        <v>21</v>
      </c>
      <c r="B98">
        <f>COUNTIFS(TRAIN!E:E,"o",TRAIN!J:J,"negative")</f>
        <v>157</v>
      </c>
    </row>
    <row r="99" spans="1:8" x14ac:dyDescent="0.3">
      <c r="A99" s="8" t="s">
        <v>22</v>
      </c>
      <c r="B99">
        <f>B97+B98</f>
        <v>290</v>
      </c>
    </row>
    <row r="105" spans="1:8" ht="15.6" x14ac:dyDescent="0.3">
      <c r="A105" s="16" t="s">
        <v>57</v>
      </c>
      <c r="B105" s="16"/>
    </row>
    <row r="107" spans="1:8" x14ac:dyDescent="0.3">
      <c r="B107" s="9" t="s">
        <v>13</v>
      </c>
      <c r="C107" s="9" t="s">
        <v>11</v>
      </c>
      <c r="D107" s="9" t="s">
        <v>9</v>
      </c>
      <c r="E107" s="9" t="s">
        <v>8</v>
      </c>
      <c r="F107" s="9" t="s">
        <v>6</v>
      </c>
      <c r="G107" s="9"/>
      <c r="H107" s="9"/>
    </row>
    <row r="108" spans="1:8" x14ac:dyDescent="0.3">
      <c r="A108" s="8" t="s">
        <v>14</v>
      </c>
      <c r="B108">
        <f>ROUND((((B123/B125)*LOG(B123/B125,2))+((B124/B125)*LOG(B124/B125,2)))*-1,3)</f>
        <v>0.51900000000000002</v>
      </c>
      <c r="C108">
        <f>B108</f>
        <v>0.51900000000000002</v>
      </c>
      <c r="D108">
        <f>C108</f>
        <v>0.51900000000000002</v>
      </c>
      <c r="E108">
        <f>D108</f>
        <v>0.51900000000000002</v>
      </c>
      <c r="F108">
        <f>E108</f>
        <v>0.51900000000000002</v>
      </c>
    </row>
    <row r="109" spans="1:8" x14ac:dyDescent="0.3">
      <c r="A109" s="8" t="s">
        <v>15</v>
      </c>
      <c r="B109">
        <f t="shared" ref="B109:F109" si="55">ROUND((((B115/(B115+B116))*LOG(B115/(B115+B116),2))+((B116/(B115+B116))*LOG(B116/(B115+B116),2)))*-1,3)</f>
        <v>0.46899999999999997</v>
      </c>
      <c r="C109">
        <f t="shared" si="55"/>
        <v>0.68400000000000005</v>
      </c>
      <c r="D109">
        <f t="shared" si="55"/>
        <v>0.61399999999999999</v>
      </c>
      <c r="E109">
        <f t="shared" si="55"/>
        <v>0.51100000000000001</v>
      </c>
      <c r="F109">
        <v>0</v>
      </c>
    </row>
    <row r="110" spans="1:8" x14ac:dyDescent="0.3">
      <c r="A110" s="8" t="s">
        <v>16</v>
      </c>
      <c r="B110">
        <f t="shared" ref="B110:F110" si="56">ROUND((((B117/(B118+B117))*LOG(B117/(B118+B117),2))+((B118/(B117+B118))*LOG(B118/(B117+B118),2)))*-1,3)</f>
        <v>0.68799999999999994</v>
      </c>
      <c r="C110">
        <f t="shared" si="56"/>
        <v>0.503</v>
      </c>
      <c r="D110">
        <f t="shared" si="56"/>
        <v>0.40799999999999997</v>
      </c>
      <c r="E110">
        <f t="shared" si="56"/>
        <v>0.35899999999999999</v>
      </c>
      <c r="F110">
        <v>0</v>
      </c>
    </row>
    <row r="111" spans="1:8" x14ac:dyDescent="0.3">
      <c r="A111" s="8" t="s">
        <v>17</v>
      </c>
      <c r="B111">
        <f t="shared" ref="B111:F111" si="57">ROUND((((B119/(B120+B119))*LOG(B119/(B120+B119),2))+((B120/(B119+B120))*LOG(B120/(B119+B120),2)))*-1,3)</f>
        <v>0.40600000000000003</v>
      </c>
      <c r="C111">
        <f t="shared" si="57"/>
        <v>0.40600000000000003</v>
      </c>
      <c r="D111">
        <f t="shared" si="57"/>
        <v>0.53900000000000003</v>
      </c>
      <c r="E111">
        <f t="shared" si="57"/>
        <v>0.60099999999999998</v>
      </c>
      <c r="F111">
        <f t="shared" si="57"/>
        <v>0.94099999999999995</v>
      </c>
    </row>
    <row r="112" spans="1:8" x14ac:dyDescent="0.3">
      <c r="A112" s="8" t="s">
        <v>18</v>
      </c>
      <c r="B112">
        <f>ROUND(((((B115+B116)/B121)*B109)+(((B117+B118)/B121)*B110)+(((B119+B120)/B121)*B111)),3)</f>
        <v>0.50600000000000001</v>
      </c>
      <c r="C112">
        <f t="shared" ref="C112:F112" si="58">ROUND(((((C115+C116)/C121)*C109)+(((C117+C118)/C121)*C110)+(((C119+C120)/C121)*C111)),3)</f>
        <v>0.50800000000000001</v>
      </c>
      <c r="D112">
        <f t="shared" si="58"/>
        <v>0.51500000000000001</v>
      </c>
      <c r="E112">
        <f t="shared" si="58"/>
        <v>0.51100000000000001</v>
      </c>
      <c r="F112">
        <f t="shared" si="58"/>
        <v>0.30599999999999999</v>
      </c>
    </row>
    <row r="113" spans="1:6" x14ac:dyDescent="0.3">
      <c r="A113" s="8" t="s">
        <v>19</v>
      </c>
      <c r="B113">
        <f>ROUND((B108-B112),3)</f>
        <v>1.2999999999999999E-2</v>
      </c>
      <c r="C113">
        <f t="shared" ref="C113:E113" si="59">ROUND((C108-C112),3)</f>
        <v>1.0999999999999999E-2</v>
      </c>
      <c r="D113">
        <f t="shared" si="59"/>
        <v>4.0000000000000001E-3</v>
      </c>
      <c r="E113">
        <f t="shared" si="59"/>
        <v>8.0000000000000002E-3</v>
      </c>
      <c r="F113" s="10">
        <f>ROUND((F108-F112),3)</f>
        <v>0.21299999999999999</v>
      </c>
    </row>
    <row r="115" spans="1:6" x14ac:dyDescent="0.3">
      <c r="A115" s="8" t="s">
        <v>23</v>
      </c>
      <c r="B115">
        <f>COUNTIFS(TRAIN!B:B,"x",TRAIN!J:J,"positive",TRAIN!E:E,"x",TRAIN!A:A,"x")</f>
        <v>36</v>
      </c>
      <c r="C115">
        <f>COUNTIFS(TRAIN!D:D,"x",TRAIN!J:J,"positive",TRAIN!E:E,"x",TRAIN!A:A,"x")</f>
        <v>36</v>
      </c>
      <c r="D115">
        <f>COUNTIFS(TRAIN!F:F,"x",TRAIN!J:J,"positive",TRAIN!E:E,"x",TRAIN!A:A,"x")</f>
        <v>28</v>
      </c>
      <c r="E115">
        <f>COUNTIFS(TRAIN!G:G,"x",TRAIN!J:J,"positive",TRAIN!E:E,"x",TRAIN!A:A,"x")</f>
        <v>39</v>
      </c>
      <c r="F115">
        <f>COUNTIFS(TRAIN!I:I,"x",TRAIN!J:J,"positive",TRAIN!E:E,"x",TRAIN!A:A,"x")</f>
        <v>90</v>
      </c>
    </row>
    <row r="116" spans="1:6" x14ac:dyDescent="0.3">
      <c r="A116" s="8" t="s">
        <v>24</v>
      </c>
      <c r="B116">
        <f>COUNTIFS(TRAIN!B:B,"x",TRAIN!J:J,"negative",TRAIN!E:E,"x",TRAIN!A:A,"x")</f>
        <v>4</v>
      </c>
      <c r="C116">
        <f>COUNTIFS(TRAIN!D:D,"x",TRAIN!J:J,"negative",TRAIN!E:E,"x",TRAIN!A:A,"x")</f>
        <v>8</v>
      </c>
      <c r="D116">
        <f>COUNTIFS(TRAIN!F:F,"x",TRAIN!J:J,"negative",TRAIN!E:E,"x",TRAIN!A:A,"x")</f>
        <v>5</v>
      </c>
      <c r="E116">
        <f>COUNTIFS(TRAIN!G:G,"x",TRAIN!J:J,"negative",TRAIN!E:E,"x",TRAIN!A:A,"x")</f>
        <v>5</v>
      </c>
      <c r="F116">
        <f>COUNTIFS(TRAIN!I:I,"x",TRAIN!J:J,"negative",TRAIN!E:E,"x",TRAIN!A:A,"x")</f>
        <v>0</v>
      </c>
    </row>
    <row r="117" spans="1:6" x14ac:dyDescent="0.3">
      <c r="A117" s="8" t="s">
        <v>25</v>
      </c>
      <c r="B117">
        <f>COUNTIFS(TRAIN!B:B,"b",TRAIN!J:J,"positive",TRAIN!E:E,"x",TRAIN!A:A,"x")</f>
        <v>40</v>
      </c>
      <c r="C117">
        <f>COUNTIFS(TRAIN!D:D,"b",TRAIN!J:J,"positive",TRAIN!E:E,"x",TRAIN!A:A,"x")</f>
        <v>40</v>
      </c>
      <c r="D117">
        <f>COUNTIFS(TRAIN!F:F,"b",TRAIN!J:J,"positive",TRAIN!E:E,"x",TRAIN!A:A,"x")</f>
        <v>45</v>
      </c>
      <c r="E117">
        <f>COUNTIFS(TRAIN!G:G,"b",TRAIN!J:J,"positive",TRAIN!E:E,"x",TRAIN!A:A,"x")</f>
        <v>41</v>
      </c>
      <c r="F117">
        <f>COUNTIFS(TRAIN!I:I,"b",TRAIN!J:J,"positive",TRAIN!E:E,"x",TRAIN!A:A,"x")</f>
        <v>20</v>
      </c>
    </row>
    <row r="118" spans="1:6" x14ac:dyDescent="0.3">
      <c r="A118" s="8" t="s">
        <v>26</v>
      </c>
      <c r="B118">
        <f>COUNTIFS(TRAIN!B:B,"b",TRAIN!J:J,"negative",TRAIN!E:E,"x",TRAIN!A:A,"x")</f>
        <v>9</v>
      </c>
      <c r="C118">
        <f>COUNTIFS(TRAIN!D:D,"b",TRAIN!J:J,"negative",TRAIN!E:E,"x",TRAIN!A:A,"x")</f>
        <v>5</v>
      </c>
      <c r="D118">
        <f>COUNTIFS(TRAIN!F:F,"b",TRAIN!J:J,"negative",TRAIN!E:E,"x",TRAIN!A:A,"x")</f>
        <v>4</v>
      </c>
      <c r="E118">
        <f>COUNTIFS(TRAIN!G:G,"b",TRAIN!J:J,"negative",TRAIN!E:E,"x",TRAIN!A:A,"x")</f>
        <v>3</v>
      </c>
      <c r="F118">
        <f>COUNTIFS(TRAIN!I:I,"b",TRAIN!J:J,"negative",TRAIN!E:E,"x",TRAIN!A:A,"x")</f>
        <v>0</v>
      </c>
    </row>
    <row r="119" spans="1:6" x14ac:dyDescent="0.3">
      <c r="A119" s="8" t="s">
        <v>27</v>
      </c>
      <c r="B119">
        <f>COUNTIFS(TRAIN!B:B,"o",TRAIN!J:J,"positive",TRAIN!E:E,"x",TRAIN!A:A,"x")</f>
        <v>68</v>
      </c>
      <c r="C119">
        <f>COUNTIFS(TRAIN!D:D,"o",TRAIN!J:J,"positive",TRAIN!E:E,"x",TRAIN!A:A,"x")</f>
        <v>68</v>
      </c>
      <c r="D119">
        <f>COUNTIFS(TRAIN!F:F,"o",TRAIN!J:J,"positive",TRAIN!E:E,"x",TRAIN!A:A,"x")</f>
        <v>71</v>
      </c>
      <c r="E119">
        <f>COUNTIFS(TRAIN!G:G,"o",TRAIN!J:J,"positive",TRAIN!E:E,"x",TRAIN!A:A,"x")</f>
        <v>64</v>
      </c>
      <c r="F119">
        <f>COUNTIFS(TRAIN!I:I,"o",TRAIN!J:J,"positive",TRAIN!E:E,"x",TRAIN!A:A,"x")</f>
        <v>34</v>
      </c>
    </row>
    <row r="120" spans="1:6" x14ac:dyDescent="0.3">
      <c r="A120" s="8" t="s">
        <v>28</v>
      </c>
      <c r="B120">
        <f>COUNTIFS(TRAIN!B:B,"o",TRAIN!J:J,"negative",TRAIN!E:E,"x",TRAIN!A:A,"x")</f>
        <v>6</v>
      </c>
      <c r="C120">
        <f>COUNTIFS(TRAIN!D:D,"o",TRAIN!J:J,"negative",TRAIN!E:E,"x",TRAIN!A:A,"x")</f>
        <v>6</v>
      </c>
      <c r="D120">
        <f>COUNTIFS(TRAIN!F:F,"o",TRAIN!J:J,"negative",TRAIN!E:E,"x",TRAIN!A:A,"x")</f>
        <v>10</v>
      </c>
      <c r="E120">
        <f>COUNTIFS(TRAIN!G:G,"o",TRAIN!J:J,"negative",TRAIN!E:E,"x",TRAIN!A:A,"x")</f>
        <v>11</v>
      </c>
      <c r="F120">
        <f>COUNTIFS(TRAIN!I:I,"o",TRAIN!J:J,"negative",TRAIN!E:E,"x",TRAIN!A:A,"x")</f>
        <v>19</v>
      </c>
    </row>
    <row r="121" spans="1:6" x14ac:dyDescent="0.3">
      <c r="A121" s="8" t="s">
        <v>22</v>
      </c>
      <c r="B121">
        <f>B115+B116+B117+B118+B119+B120</f>
        <v>163</v>
      </c>
      <c r="C121">
        <f t="shared" ref="C121:F121" si="60">C115+C116+C117+C118+C119+C120</f>
        <v>163</v>
      </c>
      <c r="D121">
        <f t="shared" si="60"/>
        <v>163</v>
      </c>
      <c r="E121">
        <f t="shared" si="60"/>
        <v>163</v>
      </c>
      <c r="F121">
        <f t="shared" si="60"/>
        <v>163</v>
      </c>
    </row>
    <row r="123" spans="1:6" x14ac:dyDescent="0.3">
      <c r="A123" s="8" t="s">
        <v>20</v>
      </c>
      <c r="B123">
        <f>COUNTIFS(TRAIN!E:E,"x",TRAIN!J:J,"positive",TRAIN!A:A,"x")</f>
        <v>144</v>
      </c>
    </row>
    <row r="124" spans="1:6" x14ac:dyDescent="0.3">
      <c r="A124" s="8" t="s">
        <v>21</v>
      </c>
      <c r="B124">
        <f>COUNTIFS(TRAIN!E:E,"x",TRAIN!J:J,"negative",TRAIN!A:A,"x")</f>
        <v>19</v>
      </c>
    </row>
    <row r="125" spans="1:6" x14ac:dyDescent="0.3">
      <c r="A125" s="8" t="s">
        <v>22</v>
      </c>
      <c r="B125">
        <f>B123+B124</f>
        <v>163</v>
      </c>
    </row>
    <row r="131" spans="1:8" ht="15.6" x14ac:dyDescent="0.3">
      <c r="A131" s="16" t="s">
        <v>58</v>
      </c>
      <c r="B131" s="16"/>
    </row>
    <row r="133" spans="1:8" x14ac:dyDescent="0.3">
      <c r="B133" s="9" t="s">
        <v>13</v>
      </c>
      <c r="C133" s="9" t="s">
        <v>11</v>
      </c>
      <c r="D133" s="9" t="s">
        <v>9</v>
      </c>
      <c r="E133" s="9" t="s">
        <v>8</v>
      </c>
      <c r="F133" s="9"/>
      <c r="G133" s="9"/>
      <c r="H133" s="9"/>
    </row>
    <row r="134" spans="1:8" x14ac:dyDescent="0.3">
      <c r="A134" s="8" t="s">
        <v>14</v>
      </c>
      <c r="B134">
        <f>ROUND((((B149/B151)*LOG(B149/B151,2))+((B150/B151)*LOG(B150/B151,2)))*-1,3)</f>
        <v>0.63700000000000001</v>
      </c>
      <c r="C134">
        <f>B134</f>
        <v>0.63700000000000001</v>
      </c>
      <c r="D134">
        <f>C134</f>
        <v>0.63700000000000001</v>
      </c>
      <c r="E134">
        <f>D134</f>
        <v>0.63700000000000001</v>
      </c>
    </row>
    <row r="135" spans="1:8" x14ac:dyDescent="0.3">
      <c r="A135" s="8" t="s">
        <v>15</v>
      </c>
      <c r="B135">
        <f t="shared" ref="B135:E135" si="61">ROUND((((B141/(B141+B142))*LOG(B141/(B141+B142),2))+((B142/(B141+B142))*LOG(B142/(B141+B142),2)))*-1,3)</f>
        <v>0.76400000000000001</v>
      </c>
      <c r="C135">
        <f t="shared" si="61"/>
        <v>0.79900000000000004</v>
      </c>
      <c r="D135">
        <f t="shared" si="61"/>
        <v>0.44900000000000001</v>
      </c>
      <c r="E135">
        <f t="shared" si="61"/>
        <v>0.54400000000000004</v>
      </c>
    </row>
    <row r="136" spans="1:8" x14ac:dyDescent="0.3">
      <c r="A136" s="8" t="s">
        <v>16</v>
      </c>
      <c r="B136">
        <f t="shared" ref="B136:E136" si="62">ROUND((((B143/(B144+B143))*LOG(B143/(B144+B143),2))+((B144/(B143+B144))*LOG(B144/(B143+B144),2)))*-1,3)</f>
        <v>0.98</v>
      </c>
      <c r="C136">
        <f t="shared" si="62"/>
        <v>0.85199999999999998</v>
      </c>
      <c r="D136">
        <f t="shared" si="62"/>
        <v>0.61</v>
      </c>
      <c r="E136">
        <f t="shared" si="62"/>
        <v>0.52300000000000002</v>
      </c>
    </row>
    <row r="137" spans="1:8" x14ac:dyDescent="0.3">
      <c r="A137" s="8" t="s">
        <v>17</v>
      </c>
      <c r="B137">
        <f t="shared" ref="B137:E137" si="63">ROUND((((B145/(B146+B145))*LOG(B145/(B146+B145),2))+((B146/(B145+B146))*LOG(B146/(B145+B146),2)))*-1,3)</f>
        <v>0.17199999999999999</v>
      </c>
      <c r="C137">
        <f t="shared" si="63"/>
        <v>0.183</v>
      </c>
      <c r="D137">
        <f t="shared" si="63"/>
        <v>0.77600000000000002</v>
      </c>
      <c r="E137">
        <f t="shared" si="63"/>
        <v>0.78400000000000003</v>
      </c>
    </row>
    <row r="138" spans="1:8" x14ac:dyDescent="0.3">
      <c r="A138" s="8" t="s">
        <v>18</v>
      </c>
      <c r="B138">
        <f>ROUND(((((B141+B142)/B147)*B135)+(((B143+B144)/B147)*B136)+(((B145+B146)/B147)*B137)),3)</f>
        <v>0.52800000000000002</v>
      </c>
      <c r="C138">
        <f t="shared" ref="C138:E138" si="64">ROUND(((((C141+C142)/C147)*C135)+(((C143+C144)/C147)*C136)+(((C145+C146)/C147)*C137)),3)</f>
        <v>0.55500000000000005</v>
      </c>
      <c r="D138">
        <f t="shared" si="64"/>
        <v>0.61799999999999999</v>
      </c>
      <c r="E138">
        <f t="shared" si="64"/>
        <v>0.623</v>
      </c>
    </row>
    <row r="139" spans="1:8" x14ac:dyDescent="0.3">
      <c r="A139" s="8" t="s">
        <v>19</v>
      </c>
      <c r="B139" s="10">
        <f>ROUND((B134-B138),3)</f>
        <v>0.109</v>
      </c>
      <c r="C139">
        <f t="shared" ref="C139:E139" si="65">ROUND((C134-C138),3)</f>
        <v>8.2000000000000003E-2</v>
      </c>
      <c r="D139">
        <f t="shared" si="65"/>
        <v>1.9E-2</v>
      </c>
      <c r="E139">
        <f t="shared" si="65"/>
        <v>1.4E-2</v>
      </c>
    </row>
    <row r="141" spans="1:8" x14ac:dyDescent="0.3">
      <c r="A141" s="8" t="s">
        <v>23</v>
      </c>
      <c r="B141">
        <f>COUNTIFS(TRAIN!B:B,"x",TRAIN!J:J,"positive",TRAIN!E:E,"x",TRAIN!A:A,"b")</f>
        <v>28</v>
      </c>
      <c r="C141">
        <f>COUNTIFS(TRAIN!D:D,"x",TRAIN!J:J,"positive",TRAIN!E:E,"x",TRAIN!A:A,"b")</f>
        <v>25</v>
      </c>
      <c r="D141">
        <f>COUNTIFS(TRAIN!F:F,"x",TRAIN!J:J,"positive",TRAIN!E:E,"x",TRAIN!A:A,"b")</f>
        <v>29</v>
      </c>
      <c r="E141">
        <f>COUNTIFS(TRAIN!G:G,"x",TRAIN!J:J,"positive",TRAIN!E:E,"x",TRAIN!A:A,"b")</f>
        <v>35</v>
      </c>
    </row>
    <row r="142" spans="1:8" x14ac:dyDescent="0.3">
      <c r="A142" s="8" t="s">
        <v>24</v>
      </c>
      <c r="B142">
        <f>COUNTIFS(TRAIN!B:B,"x",TRAIN!J:J,"negative",TRAIN!E:E,"x",TRAIN!A:A,"b")</f>
        <v>8</v>
      </c>
      <c r="C142">
        <f>COUNTIFS(TRAIN!D:D,"x",TRAIN!J:J,"negative",TRAIN!E:E,"x",TRAIN!A:A,"b")</f>
        <v>8</v>
      </c>
      <c r="D142">
        <f>COUNTIFS(TRAIN!F:F,"x",TRAIN!J:J,"negative",TRAIN!E:E,"x",TRAIN!A:A,"b")</f>
        <v>3</v>
      </c>
      <c r="E142">
        <f>COUNTIFS(TRAIN!G:G,"x",TRAIN!J:J,"negative",TRAIN!E:E,"x",TRAIN!A:A,"b")</f>
        <v>5</v>
      </c>
    </row>
    <row r="143" spans="1:8" x14ac:dyDescent="0.3">
      <c r="A143" s="8" t="s">
        <v>25</v>
      </c>
      <c r="B143">
        <f>COUNTIFS(TRAIN!B:B,"b",TRAIN!J:J,"positive",TRAIN!E:E,"x",TRAIN!A:A,"b")</f>
        <v>7</v>
      </c>
      <c r="C143">
        <f>COUNTIFS(TRAIN!D:D,"b",TRAIN!J:J,"positive",TRAIN!E:E,"x",TRAIN!A:A,"b")</f>
        <v>13</v>
      </c>
      <c r="D143">
        <f>COUNTIFS(TRAIN!F:F,"b",TRAIN!J:J,"positive",TRAIN!E:E,"x",TRAIN!A:A,"b")</f>
        <v>17</v>
      </c>
      <c r="E143">
        <f>COUNTIFS(TRAIN!G:G,"b",TRAIN!J:J,"positive",TRAIN!E:E,"x",TRAIN!A:A,"b")</f>
        <v>15</v>
      </c>
    </row>
    <row r="144" spans="1:8" x14ac:dyDescent="0.3">
      <c r="A144" s="8" t="s">
        <v>26</v>
      </c>
      <c r="B144">
        <f>COUNTIFS(TRAIN!B:B,"b",TRAIN!J:J,"negative",TRAIN!E:E,"x",TRAIN!A:A,"b")</f>
        <v>5</v>
      </c>
      <c r="C144">
        <f>COUNTIFS(TRAIN!D:D,"b",TRAIN!J:J,"negative",TRAIN!E:E,"x",TRAIN!A:A,"b")</f>
        <v>5</v>
      </c>
      <c r="D144">
        <f>COUNTIFS(TRAIN!F:F,"b",TRAIN!J:J,"negative",TRAIN!E:E,"x",TRAIN!A:A,"b")</f>
        <v>3</v>
      </c>
      <c r="E144">
        <f>COUNTIFS(TRAIN!G:G,"b",TRAIN!J:J,"negative",TRAIN!E:E,"x",TRAIN!A:A,"b")</f>
        <v>2</v>
      </c>
    </row>
    <row r="145" spans="1:6" x14ac:dyDescent="0.3">
      <c r="A145" s="8" t="s">
        <v>27</v>
      </c>
      <c r="B145">
        <f>COUNTIFS(TRAIN!B:B,"o",TRAIN!J:J,"positive",TRAIN!E:E,"x",TRAIN!A:A,"b")</f>
        <v>38</v>
      </c>
      <c r="C145">
        <f>COUNTIFS(TRAIN!D:D,"o",TRAIN!J:J,"positive",TRAIN!E:E,"x",TRAIN!A:A,"b")</f>
        <v>35</v>
      </c>
      <c r="D145">
        <f>COUNTIFS(TRAIN!F:F,"o",TRAIN!J:J,"positive",TRAIN!E:E,"x",TRAIN!A:A,"b")</f>
        <v>27</v>
      </c>
      <c r="E145">
        <f>COUNTIFS(TRAIN!G:G,"o",TRAIN!J:J,"positive",TRAIN!E:E,"x",TRAIN!A:A,"b")</f>
        <v>23</v>
      </c>
    </row>
    <row r="146" spans="1:6" x14ac:dyDescent="0.3">
      <c r="A146" s="8" t="s">
        <v>28</v>
      </c>
      <c r="B146">
        <f>COUNTIFS(TRAIN!B:B,"o",TRAIN!J:J,"negative",TRAIN!E:E,"x",TRAIN!A:A,"b")</f>
        <v>1</v>
      </c>
      <c r="C146">
        <f>COUNTIFS(TRAIN!D:D,"o",TRAIN!J:J,"negative",TRAIN!E:E,"x",TRAIN!A:A,"b")</f>
        <v>1</v>
      </c>
      <c r="D146">
        <f>COUNTIFS(TRAIN!F:F,"o",TRAIN!J:J,"negative",TRAIN!E:E,"x",TRAIN!A:A,"b")</f>
        <v>8</v>
      </c>
      <c r="E146">
        <f>COUNTIFS(TRAIN!G:G,"o",TRAIN!J:J,"negative",TRAIN!E:E,"x",TRAIN!A:A,"b")</f>
        <v>7</v>
      </c>
    </row>
    <row r="147" spans="1:6" x14ac:dyDescent="0.3">
      <c r="A147" s="8" t="s">
        <v>22</v>
      </c>
      <c r="B147">
        <f>B141+B142+B143+B144+B145+B146</f>
        <v>87</v>
      </c>
      <c r="C147">
        <f t="shared" ref="C147:E147" si="66">C141+C142+C143+C144+C145+C146</f>
        <v>87</v>
      </c>
      <c r="D147">
        <f t="shared" si="66"/>
        <v>87</v>
      </c>
      <c r="E147">
        <f t="shared" si="66"/>
        <v>87</v>
      </c>
    </row>
    <row r="149" spans="1:6" x14ac:dyDescent="0.3">
      <c r="A149" s="8" t="s">
        <v>20</v>
      </c>
      <c r="B149">
        <f>COUNTIFS(TRAIN!E:E,"x",TRAIN!J:J,"positive",TRAIN!A:A,"b")</f>
        <v>73</v>
      </c>
    </row>
    <row r="150" spans="1:6" x14ac:dyDescent="0.3">
      <c r="A150" s="8" t="s">
        <v>21</v>
      </c>
      <c r="B150">
        <f>COUNTIFS(TRAIN!E:E,"x",TRAIN!J:J,"negative",TRAIN!A:A,"b")</f>
        <v>14</v>
      </c>
    </row>
    <row r="151" spans="1:6" x14ac:dyDescent="0.3">
      <c r="A151" s="8" t="s">
        <v>22</v>
      </c>
      <c r="B151">
        <f>B149+B150</f>
        <v>87</v>
      </c>
    </row>
    <row r="157" spans="1:6" ht="15.6" x14ac:dyDescent="0.3">
      <c r="A157" s="16" t="s">
        <v>59</v>
      </c>
      <c r="B157" s="16"/>
    </row>
    <row r="159" spans="1:6" x14ac:dyDescent="0.3">
      <c r="B159" s="9" t="s">
        <v>11</v>
      </c>
      <c r="C159" s="9" t="s">
        <v>9</v>
      </c>
      <c r="D159" s="9" t="s">
        <v>8</v>
      </c>
      <c r="E159" s="9"/>
      <c r="F159" s="9"/>
    </row>
    <row r="160" spans="1:6" x14ac:dyDescent="0.3">
      <c r="A160" s="8" t="s">
        <v>14</v>
      </c>
      <c r="B160">
        <f>ROUND((((B175/B177)*LOG(B175/B177,2))+((B176/B177)*LOG(B176/B177,2)))*-1,3)</f>
        <v>0.86799999999999999</v>
      </c>
      <c r="C160">
        <f>B160</f>
        <v>0.86799999999999999</v>
      </c>
      <c r="D160">
        <f>C160</f>
        <v>0.86799999999999999</v>
      </c>
    </row>
    <row r="161" spans="1:6" x14ac:dyDescent="0.3">
      <c r="A161" s="8" t="s">
        <v>15</v>
      </c>
      <c r="B161">
        <f t="shared" ref="B161:D161" si="67">ROUND((((B167/(B167+B168))*LOG(B167/(B167+B168),2))+((B168/(B167+B168))*LOG(B168/(B167+B168),2)))*-1,3)</f>
        <v>0.75800000000000001</v>
      </c>
      <c r="C161">
        <f t="shared" si="67"/>
        <v>0.873</v>
      </c>
      <c r="D161">
        <f t="shared" si="67"/>
        <v>0.753</v>
      </c>
    </row>
    <row r="162" spans="1:6" x14ac:dyDescent="0.3">
      <c r="A162" s="8" t="s">
        <v>16</v>
      </c>
      <c r="B162">
        <f t="shared" ref="B162:D162" si="68">ROUND((((B169/(B170+B169))*LOG(B169/(B170+B169),2))+((B170/(B169+B170))*LOG(B170/(B169+B170),2)))*-1,3)</f>
        <v>0.71299999999999997</v>
      </c>
      <c r="C162">
        <f t="shared" si="68"/>
        <v>0.93899999999999995</v>
      </c>
      <c r="D162">
        <f t="shared" si="68"/>
        <v>0.68899999999999995</v>
      </c>
    </row>
    <row r="163" spans="1:6" x14ac:dyDescent="0.3">
      <c r="A163" s="8" t="s">
        <v>17</v>
      </c>
      <c r="B163">
        <f t="shared" ref="B163:D163" si="69">ROUND((((B171/(B172+B171))*LOG(B171/(B172+B171),2))+((B172/(B171+B172))*LOG(B172/(B171+B172),2)))*-1,3)</f>
        <v>0.99199999999999999</v>
      </c>
      <c r="C163">
        <f t="shared" si="69"/>
        <v>0.755</v>
      </c>
      <c r="D163">
        <f t="shared" si="69"/>
        <v>0.996</v>
      </c>
    </row>
    <row r="164" spans="1:6" x14ac:dyDescent="0.3">
      <c r="A164" s="8" t="s">
        <v>18</v>
      </c>
      <c r="B164">
        <f t="shared" ref="B164:D164" si="70">ROUND(((((B167+B168)/B173)*B161)+(((B169+B170)/B173)*B162)+(((B171+B172)/B173)*B163)),3)</f>
        <v>0.82399999999999995</v>
      </c>
      <c r="C164">
        <f t="shared" si="70"/>
        <v>0.85799999999999998</v>
      </c>
      <c r="D164">
        <f t="shared" si="70"/>
        <v>0.81699999999999995</v>
      </c>
    </row>
    <row r="165" spans="1:6" x14ac:dyDescent="0.3">
      <c r="A165" s="8" t="s">
        <v>19</v>
      </c>
      <c r="B165">
        <f t="shared" ref="B165:D165" si="71">ROUND((B160-B164),3)</f>
        <v>4.3999999999999997E-2</v>
      </c>
      <c r="C165">
        <f t="shared" si="71"/>
        <v>0.01</v>
      </c>
      <c r="D165" s="10">
        <f t="shared" si="71"/>
        <v>5.0999999999999997E-2</v>
      </c>
      <c r="F165" s="18"/>
    </row>
    <row r="167" spans="1:6" x14ac:dyDescent="0.3">
      <c r="A167" s="8" t="s">
        <v>23</v>
      </c>
      <c r="B167">
        <f>COUNTIFS(TRAIN!D:D,"x",TRAIN!J:J,"positive",TRAIN!E:E,"x",TRAIN!A:A,"o")</f>
        <v>50</v>
      </c>
      <c r="C167">
        <f>COUNTIFS(TRAIN!F:F,"x",TRAIN!J:J,"positive",TRAIN!E:E,"x",TRAIN!A:A,"o")</f>
        <v>53</v>
      </c>
      <c r="D167">
        <f>COUNTIFS(TRAIN!G:G,"x",TRAIN!J:J,"positive",TRAIN!E:E,"x",TRAIN!A:A,"o")</f>
        <v>58</v>
      </c>
    </row>
    <row r="168" spans="1:6" x14ac:dyDescent="0.3">
      <c r="A168" s="8" t="s">
        <v>24</v>
      </c>
      <c r="B168">
        <f>COUNTIFS(TRAIN!D:D,"x",TRAIN!J:J,"negative",TRAIN!E:E,"x",TRAIN!A:A,"o")</f>
        <v>14</v>
      </c>
      <c r="C168">
        <f>COUNTIFS(TRAIN!F:F,"x",TRAIN!J:J,"negative",TRAIN!E:E,"x",TRAIN!A:A,"o")</f>
        <v>22</v>
      </c>
      <c r="D168">
        <f>COUNTIFS(TRAIN!G:G,"x",TRAIN!J:J,"negative",TRAIN!E:E,"x",TRAIN!A:A,"o")</f>
        <v>16</v>
      </c>
    </row>
    <row r="169" spans="1:6" x14ac:dyDescent="0.3">
      <c r="A169" s="8" t="s">
        <v>25</v>
      </c>
      <c r="B169">
        <f>COUNTIFS(TRAIN!D:D,"b",TRAIN!J:J,"positive",TRAIN!E:E,"x",TRAIN!A:A,"o")</f>
        <v>37</v>
      </c>
      <c r="C169">
        <f>COUNTIFS(TRAIN!F:F,"b",TRAIN!J:J,"positive",TRAIN!E:E,"x",TRAIN!A:A,"o")</f>
        <v>29</v>
      </c>
      <c r="D169">
        <f>COUNTIFS(TRAIN!G:G,"b",TRAIN!J:J,"positive",TRAIN!E:E,"x",TRAIN!A:A,"o")</f>
        <v>31</v>
      </c>
    </row>
    <row r="170" spans="1:6" x14ac:dyDescent="0.3">
      <c r="A170" s="8" t="s">
        <v>26</v>
      </c>
      <c r="B170">
        <f>COUNTIFS(TRAIN!D:D,"b",TRAIN!J:J,"negative",TRAIN!E:E,"x",TRAIN!A:A,"o")</f>
        <v>9</v>
      </c>
      <c r="C170">
        <f>COUNTIFS(TRAIN!F:F,"b",TRAIN!J:J,"negative",TRAIN!E:E,"x",TRAIN!A:A,"o")</f>
        <v>16</v>
      </c>
      <c r="D170">
        <f>COUNTIFS(TRAIN!G:G,"b",TRAIN!J:J,"negative",TRAIN!E:E,"x",TRAIN!A:A,"o")</f>
        <v>7</v>
      </c>
    </row>
    <row r="171" spans="1:6" x14ac:dyDescent="0.3">
      <c r="A171" s="8" t="s">
        <v>27</v>
      </c>
      <c r="B171">
        <f>COUNTIFS(TRAIN!D:D,"o",TRAIN!J:J,"positive",TRAIN!E:E,"x",TRAIN!A:A,"o")</f>
        <v>31</v>
      </c>
      <c r="C171">
        <f>COUNTIFS(TRAIN!F:F,"o",TRAIN!J:J,"positive",TRAIN!E:E,"x",TRAIN!A:A,"o")</f>
        <v>36</v>
      </c>
      <c r="D171">
        <f>COUNTIFS(TRAIN!G:G,"o",TRAIN!J:J,"positive",TRAIN!E:E,"x",TRAIN!A:A,"o")</f>
        <v>29</v>
      </c>
    </row>
    <row r="172" spans="1:6" x14ac:dyDescent="0.3">
      <c r="A172" s="8" t="s">
        <v>28</v>
      </c>
      <c r="B172">
        <f>COUNTIFS(TRAIN!D:D,"o",TRAIN!J:J,"negative",TRAIN!E:E,"x",TRAIN!A:A,"o")</f>
        <v>25</v>
      </c>
      <c r="C172">
        <f>COUNTIFS(TRAIN!F:F,"o",TRAIN!J:J,"negative",TRAIN!E:E,"x",TRAIN!A:A,"o")</f>
        <v>10</v>
      </c>
      <c r="D172">
        <f>COUNTIFS(TRAIN!G:G,"o",TRAIN!J:J,"negative",TRAIN!E:E,"x",TRAIN!A:A,"o")</f>
        <v>25</v>
      </c>
    </row>
    <row r="173" spans="1:6" x14ac:dyDescent="0.3">
      <c r="A173" s="8" t="s">
        <v>22</v>
      </c>
      <c r="B173">
        <f t="shared" ref="B173:D173" si="72">B167+B168+B169+B170+B171+B172</f>
        <v>166</v>
      </c>
      <c r="C173">
        <f t="shared" si="72"/>
        <v>166</v>
      </c>
      <c r="D173">
        <f t="shared" si="72"/>
        <v>166</v>
      </c>
    </row>
    <row r="175" spans="1:6" x14ac:dyDescent="0.3">
      <c r="A175" s="8" t="s">
        <v>20</v>
      </c>
      <c r="B175">
        <f>COUNTIFS(TRAIN!E:E,"x",TRAIN!J:J,"positive",TRAIN!A:A,"o")</f>
        <v>118</v>
      </c>
    </row>
    <row r="176" spans="1:6" x14ac:dyDescent="0.3">
      <c r="A176" s="8" t="s">
        <v>21</v>
      </c>
      <c r="B176">
        <f>COUNTIFS(TRAIN!E:E,"x",TRAIN!J:J,"negative",TRAIN!A:A,"o")</f>
        <v>48</v>
      </c>
    </row>
    <row r="177" spans="1:5" x14ac:dyDescent="0.3">
      <c r="A177" s="8" t="s">
        <v>22</v>
      </c>
      <c r="B177">
        <f>B175+B176</f>
        <v>166</v>
      </c>
    </row>
    <row r="178" spans="1:5" x14ac:dyDescent="0.3">
      <c r="A178" s="8"/>
    </row>
    <row r="179" spans="1:5" x14ac:dyDescent="0.3">
      <c r="A179" s="8"/>
    </row>
    <row r="180" spans="1:5" x14ac:dyDescent="0.3">
      <c r="A180" s="8"/>
    </row>
    <row r="181" spans="1:5" x14ac:dyDescent="0.3">
      <c r="A181" s="8"/>
    </row>
    <row r="182" spans="1:5" x14ac:dyDescent="0.3">
      <c r="A182" s="8"/>
    </row>
    <row r="183" spans="1:5" ht="15.6" x14ac:dyDescent="0.3">
      <c r="A183" s="16" t="s">
        <v>32</v>
      </c>
      <c r="B183" s="16"/>
    </row>
    <row r="185" spans="1:5" x14ac:dyDescent="0.3">
      <c r="B185" s="9" t="s">
        <v>11</v>
      </c>
      <c r="C185" s="9" t="s">
        <v>9</v>
      </c>
      <c r="D185" s="9"/>
      <c r="E185" s="9"/>
    </row>
    <row r="186" spans="1:5" x14ac:dyDescent="0.3">
      <c r="A186" s="8" t="s">
        <v>14</v>
      </c>
      <c r="B186">
        <f>ROUND((((B201/B203)*LOG(B201/B203,2))+((B202/B203)*LOG(B202/B203,2)))*-1,3)</f>
        <v>0.56399999999999995</v>
      </c>
      <c r="C186">
        <f>B186</f>
        <v>0.56399999999999995</v>
      </c>
    </row>
    <row r="187" spans="1:5" x14ac:dyDescent="0.3">
      <c r="A187" s="8" t="s">
        <v>15</v>
      </c>
      <c r="B187">
        <f t="shared" ref="B187:C187" si="73">ROUND((((B193/(B193+B194))*LOG(B193/(B193+B194),2))+((B194/(B193+B194))*LOG(B194/(B193+B194),2)))*-1,3)</f>
        <v>0.83699999999999997</v>
      </c>
      <c r="C187">
        <f t="shared" si="73"/>
        <v>0.69599999999999995</v>
      </c>
    </row>
    <row r="188" spans="1:5" x14ac:dyDescent="0.3">
      <c r="A188" s="8" t="s">
        <v>16</v>
      </c>
      <c r="B188">
        <f t="shared" ref="B188:C188" si="74">ROUND((((B195/(B196+B195))*LOG(B195/(B196+B195),2))+((B196/(B195+B196))*LOG(B196/(B195+B196),2)))*-1,3)</f>
        <v>0.45400000000000001</v>
      </c>
      <c r="C188">
        <f t="shared" si="74"/>
        <v>0.75</v>
      </c>
    </row>
    <row r="189" spans="1:5" x14ac:dyDescent="0.3">
      <c r="A189" s="8" t="s">
        <v>17</v>
      </c>
      <c r="B189">
        <f t="shared" ref="B189:C189" si="75">ROUND((((B197/(B198+B197))*LOG(B197/(B198+B197),2))+((B198/(B197+B198))*LOG(B198/(B197+B198),2)))*-1,3)</f>
        <v>0.44900000000000001</v>
      </c>
      <c r="C189">
        <v>0</v>
      </c>
    </row>
    <row r="190" spans="1:5" x14ac:dyDescent="0.3">
      <c r="A190" s="8" t="s">
        <v>18</v>
      </c>
      <c r="B190">
        <f t="shared" ref="B190:C190" si="76">ROUND(((((B193+B194)/B199)*B187)+(((B195+B196)/B199)*B188)+(((B197+B198)/B199)*B189)),3)</f>
        <v>0.53600000000000003</v>
      </c>
      <c r="C190">
        <f t="shared" si="76"/>
        <v>0.48199999999999998</v>
      </c>
    </row>
    <row r="191" spans="1:5" x14ac:dyDescent="0.3">
      <c r="A191" s="8" t="s">
        <v>19</v>
      </c>
      <c r="B191">
        <f t="shared" ref="B191:C191" si="77">ROUND((B186-B190),3)</f>
        <v>2.8000000000000001E-2</v>
      </c>
      <c r="C191" s="10">
        <f t="shared" si="77"/>
        <v>8.2000000000000003E-2</v>
      </c>
    </row>
    <row r="193" spans="1:20" x14ac:dyDescent="0.3">
      <c r="A193" s="8" t="s">
        <v>23</v>
      </c>
      <c r="B193">
        <f>COUNTIFS(TRAIN!D:D,"x",TRAIN!J:J,"positive",TRAIN!E:E,"b",TRAIN!C:C,"x")</f>
        <v>11</v>
      </c>
      <c r="C193">
        <f>COUNTIFS(TRAIN!F:F,"x",TRAIN!J:J,"positive",TRAIN!E:E,"b",TRAIN!C:C,"x")</f>
        <v>26</v>
      </c>
    </row>
    <row r="194" spans="1:20" x14ac:dyDescent="0.3">
      <c r="A194" s="8" t="s">
        <v>24</v>
      </c>
      <c r="B194">
        <f>COUNTIFS(TRAIN!D:D,"x",TRAIN!J:J,"negative",TRAIN!E:E,"b",TRAIN!C:C,"x")</f>
        <v>4</v>
      </c>
      <c r="C194">
        <f>COUNTIFS(TRAIN!F:F,"x",TRAIN!J:J,"negative",TRAIN!E:E,"b",TRAIN!C:C,"x")</f>
        <v>6</v>
      </c>
    </row>
    <row r="195" spans="1:20" x14ac:dyDescent="0.3">
      <c r="A195" s="8" t="s">
        <v>25</v>
      </c>
      <c r="B195">
        <f>COUNTIFS(TRAIN!D:D,"b",TRAIN!J:J,"positive",TRAIN!E:E,"b",TRAIN!C:C,"x")</f>
        <v>19</v>
      </c>
      <c r="C195">
        <f>COUNTIFS(TRAIN!F:F,"b",TRAIN!J:J,"positive",TRAIN!E:E,"b",TRAIN!C:C,"x")</f>
        <v>11</v>
      </c>
    </row>
    <row r="196" spans="1:20" x14ac:dyDescent="0.3">
      <c r="A196" s="8" t="s">
        <v>26</v>
      </c>
      <c r="B196">
        <f>COUNTIFS(TRAIN!D:D,"b",TRAIN!J:J,"negative",TRAIN!E:E,"b",TRAIN!C:C,"x")</f>
        <v>2</v>
      </c>
      <c r="C196">
        <f>COUNTIFS(TRAIN!F:F,"b",TRAIN!J:J,"negative",TRAIN!E:E,"b",TRAIN!C:C,"x")</f>
        <v>3</v>
      </c>
    </row>
    <row r="197" spans="1:20" x14ac:dyDescent="0.3">
      <c r="A197" s="8" t="s">
        <v>27</v>
      </c>
      <c r="B197">
        <f>COUNTIFS(TRAIN!D:D,"o",TRAIN!J:J,"positive",TRAIN!E:E,"b",TRAIN!C:C,"x")</f>
        <v>29</v>
      </c>
      <c r="C197">
        <f>COUNTIFS(TRAIN!F:F,"o",TRAIN!J:J,"positive",TRAIN!E:E,"b",TRAIN!C:C,"x")</f>
        <v>22</v>
      </c>
    </row>
    <row r="198" spans="1:20" x14ac:dyDescent="0.3">
      <c r="A198" s="8" t="s">
        <v>28</v>
      </c>
      <c r="B198">
        <f>COUNTIFS(TRAIN!D:D,"o",TRAIN!J:J,"negative",TRAIN!E:E,"b",TRAIN!C:C,"x")</f>
        <v>3</v>
      </c>
      <c r="C198">
        <f>COUNTIFS(TRAIN!F:F,"o",TRAIN!J:J,"negative",TRAIN!E:E,"b",TRAIN!C:C,"x")</f>
        <v>0</v>
      </c>
    </row>
    <row r="199" spans="1:20" x14ac:dyDescent="0.3">
      <c r="A199" s="8" t="s">
        <v>22</v>
      </c>
      <c r="B199">
        <f t="shared" ref="B199:C199" si="78">B193+B194+B195+B196+B197+B198</f>
        <v>68</v>
      </c>
      <c r="C199">
        <f t="shared" si="78"/>
        <v>68</v>
      </c>
    </row>
    <row r="201" spans="1:20" x14ac:dyDescent="0.3">
      <c r="A201" s="8" t="s">
        <v>20</v>
      </c>
      <c r="B201">
        <f>COUNTIFS(TRAIN!E:E,"b",TRAIN!J:J,"positive",TRAIN!C:C,"x")</f>
        <v>59</v>
      </c>
    </row>
    <row r="202" spans="1:20" x14ac:dyDescent="0.3">
      <c r="A202" s="8" t="s">
        <v>21</v>
      </c>
      <c r="B202">
        <f>COUNTIFS(TRAIN!E:E,"b",TRAIN!J:J,"negative",TRAIN!C:C,"x")</f>
        <v>9</v>
      </c>
    </row>
    <row r="203" spans="1:20" x14ac:dyDescent="0.3">
      <c r="A203" s="8" t="s">
        <v>22</v>
      </c>
      <c r="B203">
        <f>B201+B202</f>
        <v>68</v>
      </c>
    </row>
    <row r="207" spans="1:20" ht="15.6" x14ac:dyDescent="0.3">
      <c r="A207" s="16" t="s">
        <v>33</v>
      </c>
      <c r="B207" s="16"/>
      <c r="D207" s="16" t="s">
        <v>38</v>
      </c>
      <c r="E207" s="16"/>
      <c r="G207" s="16" t="s">
        <v>37</v>
      </c>
      <c r="H207" s="16"/>
      <c r="J207" s="16" t="s">
        <v>31</v>
      </c>
      <c r="K207" s="16"/>
      <c r="M207" s="16" t="s">
        <v>61</v>
      </c>
      <c r="N207" s="16"/>
      <c r="P207" s="16" t="s">
        <v>62</v>
      </c>
      <c r="Q207" s="16"/>
      <c r="S207" s="16" t="s">
        <v>65</v>
      </c>
      <c r="T207" s="16"/>
    </row>
    <row r="209" spans="1:20" x14ac:dyDescent="0.3">
      <c r="B209" s="9" t="s">
        <v>11</v>
      </c>
      <c r="C209" s="9"/>
      <c r="D209" s="8" t="s">
        <v>20</v>
      </c>
      <c r="E209">
        <f>COUNTIFS(TRAIN!E:E,"b",TRAIN!J:J,"positive",TRAIN!C:C,"o")</f>
        <v>25</v>
      </c>
      <c r="G209" s="8" t="s">
        <v>20</v>
      </c>
      <c r="H209">
        <f>COUNTIFS(TRAIN!E:E,"o",TRAIN!J:J,"positive",TRAIN!H:H,"o")</f>
        <v>39</v>
      </c>
      <c r="J209" s="8" t="s">
        <v>20</v>
      </c>
      <c r="K209">
        <f>COUNTIFS(TRAIN!E:E,"x",TRAIN!J:J,"positive",TRAIN!A:A,"x",TRAIN!I:I,"o")</f>
        <v>34</v>
      </c>
      <c r="M209" s="8" t="s">
        <v>20</v>
      </c>
      <c r="N209">
        <f>COUNTIFS(TRAIN!E:E,"x",TRAIN!J:J,"positive",TRAIN!A:A,"b",TRAIN!B:B,"o")</f>
        <v>38</v>
      </c>
      <c r="P209" s="8" t="s">
        <v>20</v>
      </c>
      <c r="Q209">
        <f>COUNTIFS(TRAIN!E:E,"x",TRAIN!J:J,"positive",TRAIN!A:A,"o",TRAIN!G:G,"o")</f>
        <v>29</v>
      </c>
      <c r="S209" s="8" t="s">
        <v>20</v>
      </c>
      <c r="T209">
        <f>COUNTIFS(TRAIN!E:E,"b",TRAIN!J:J,"positive",TRAIN!C:C,"x",TRAIN!F:F,"o")</f>
        <v>22</v>
      </c>
    </row>
    <row r="210" spans="1:20" x14ac:dyDescent="0.3">
      <c r="A210" s="8" t="s">
        <v>14</v>
      </c>
      <c r="B210">
        <f>ROUND((((B225/B227)*LOG(B225/B227,2))+((B226/B227)*LOG(B226/B227,2)))*-1,3)</f>
        <v>0.877</v>
      </c>
      <c r="D210" s="8" t="s">
        <v>21</v>
      </c>
      <c r="E210">
        <f>COUNTIFS(TRAIN!E:E,"b",TRAIN!J:J,"negative",TRAIN!C:C,"o")</f>
        <v>22</v>
      </c>
      <c r="G210" s="8" t="s">
        <v>21</v>
      </c>
      <c r="H210">
        <f>COUNTIFS(TRAIN!E:E,"o",TRAIN!J:J,"negative",TRAIN!H:H,"o")</f>
        <v>45</v>
      </c>
      <c r="J210" s="8" t="s">
        <v>21</v>
      </c>
      <c r="K210">
        <f>COUNTIFS(TRAIN!E:E,"x",TRAIN!J:J,"negative",TRAIN!A:A,"x",TRAIN!I:I,"o")</f>
        <v>19</v>
      </c>
      <c r="M210" s="8" t="s">
        <v>21</v>
      </c>
      <c r="N210">
        <f>COUNTIFS(TRAIN!E:E,"x",TRAIN!J:J,"negative",TRAIN!A:A,"b",TRAIN!B:B,"b")</f>
        <v>5</v>
      </c>
      <c r="P210" s="8" t="s">
        <v>21</v>
      </c>
      <c r="Q210">
        <f>COUNTIFS(TRAIN!E:E,"x",TRAIN!J:J,"negative",TRAIN!A:A,"o",TRAIN!G:G,"o")</f>
        <v>25</v>
      </c>
      <c r="S210" s="8" t="s">
        <v>21</v>
      </c>
      <c r="T210">
        <f>COUNTIFS(TRAIN!E:E,"b",TRAIN!J:J,"negative",TRAIN!C:C,"x",TRAIN!F:F,"o")</f>
        <v>0</v>
      </c>
    </row>
    <row r="211" spans="1:20" x14ac:dyDescent="0.3">
      <c r="A211" s="8" t="s">
        <v>15</v>
      </c>
      <c r="B211">
        <f t="shared" ref="B211" si="79">ROUND((((B217/(B217+B218))*LOG(B217/(B217+B218),2))+((B218/(B217+B218))*LOG(B218/(B217+B218),2)))*-1,3)</f>
        <v>0.75</v>
      </c>
      <c r="D211" s="8" t="s">
        <v>22</v>
      </c>
      <c r="E211">
        <f>E209+E210</f>
        <v>47</v>
      </c>
      <c r="G211" s="8" t="s">
        <v>22</v>
      </c>
      <c r="H211">
        <f>H209+H210</f>
        <v>84</v>
      </c>
      <c r="J211" s="8" t="s">
        <v>22</v>
      </c>
      <c r="K211">
        <f>K209+K210</f>
        <v>53</v>
      </c>
      <c r="M211" s="8" t="s">
        <v>22</v>
      </c>
      <c r="N211">
        <f>N209+N210</f>
        <v>43</v>
      </c>
      <c r="P211" s="8" t="s">
        <v>22</v>
      </c>
      <c r="Q211">
        <f>Q209+Q210</f>
        <v>54</v>
      </c>
      <c r="S211" s="8" t="s">
        <v>22</v>
      </c>
      <c r="T211">
        <f>T209+T210</f>
        <v>22</v>
      </c>
    </row>
    <row r="212" spans="1:20" x14ac:dyDescent="0.3">
      <c r="A212" s="8" t="s">
        <v>16</v>
      </c>
      <c r="B212">
        <f t="shared" ref="B212" si="80">ROUND((((B219/(B220+B219))*LOG(B219/(B220+B219),2))+((B220/(B219+B220))*LOG(B220/(B219+B220),2)))*-1,3)</f>
        <v>0.81100000000000005</v>
      </c>
    </row>
    <row r="213" spans="1:20" ht="15.6" x14ac:dyDescent="0.3">
      <c r="A213" s="8" t="s">
        <v>17</v>
      </c>
      <c r="B213">
        <f t="shared" ref="B213" si="81">ROUND((((B221/(B222+B221))*LOG(B221/(B222+B221),2))+((B222/(B221+B222))*LOG(B222/(B221+B222),2)))*-1,3)</f>
        <v>0.99099999999999999</v>
      </c>
      <c r="D213" s="16" t="s">
        <v>35</v>
      </c>
      <c r="E213" s="16"/>
      <c r="G213" s="16" t="s">
        <v>60</v>
      </c>
      <c r="H213" s="16"/>
      <c r="J213" s="16" t="s">
        <v>34</v>
      </c>
      <c r="K213" s="16"/>
      <c r="M213" s="16" t="s">
        <v>40</v>
      </c>
      <c r="N213" s="16"/>
      <c r="P213" s="16" t="s">
        <v>63</v>
      </c>
      <c r="Q213" s="16"/>
    </row>
    <row r="214" spans="1:20" x14ac:dyDescent="0.3">
      <c r="A214" s="8" t="s">
        <v>18</v>
      </c>
      <c r="B214">
        <f t="shared" ref="B214" si="82">ROUND(((((B217+B218)/B223)*B211)+(((B219+B220)/B223)*B212)+(((B221+B222)/B223)*B213)),3)</f>
        <v>0.83899999999999997</v>
      </c>
    </row>
    <row r="215" spans="1:20" x14ac:dyDescent="0.3">
      <c r="A215" s="8" t="s">
        <v>19</v>
      </c>
      <c r="B215">
        <f t="shared" ref="B215" si="83">ROUND((B210-B214),3)</f>
        <v>3.7999999999999999E-2</v>
      </c>
      <c r="D215" s="8" t="s">
        <v>20</v>
      </c>
      <c r="E215">
        <f>COUNTIFS(TRAIN!E:E,"o",TRAIN!J:J,"positive",TRAIN!H:H,"x")</f>
        <v>51</v>
      </c>
      <c r="G215" s="8" t="s">
        <v>20</v>
      </c>
      <c r="H215">
        <f>COUNTIFS(TRAIN!E:E,"x",TRAIN!J:J,"positive",TRAIN!A:A,"x",TRAIN!I:I,"x")</f>
        <v>90</v>
      </c>
      <c r="J215" s="8" t="s">
        <v>20</v>
      </c>
      <c r="K215">
        <f>COUNTIFS(TRAIN!E:E,"x",TRAIN!J:J,"positive",TRAIN!A:A,"b",TRAIN!B:B,"x")</f>
        <v>28</v>
      </c>
      <c r="M215" s="8" t="s">
        <v>20</v>
      </c>
      <c r="N215">
        <f>COUNTIFS(TRAIN!E:E,"x",TRAIN!J:J,"positive",TRAIN!A:A,"o",TRAIN!G:G,"x")</f>
        <v>58</v>
      </c>
      <c r="P215" s="8" t="s">
        <v>20</v>
      </c>
      <c r="Q215">
        <f>COUNTIFS(TRAIN!E:E,"b",TRAIN!J:J,"positive",TRAIN!C:C,"x",TRAIN!F:F,"x")</f>
        <v>26</v>
      </c>
    </row>
    <row r="216" spans="1:20" x14ac:dyDescent="0.3">
      <c r="D216" s="8" t="s">
        <v>21</v>
      </c>
      <c r="E216">
        <f>COUNTIFS(TRAIN!E:E,"o",TRAIN!J:J,"negative",TRAIN!H:H,"x")</f>
        <v>79</v>
      </c>
      <c r="G216" s="8" t="s">
        <v>21</v>
      </c>
      <c r="H216">
        <f>COUNTIFS(TRAIN!E:E,"x",TRAIN!J:J,"negative",TRAIN!A:A,"x",TRAIN!I:I,"x")</f>
        <v>0</v>
      </c>
      <c r="J216" s="8" t="s">
        <v>21</v>
      </c>
      <c r="K216">
        <f>COUNTIFS(TRAIN!E:E,"x",TRAIN!J:J,"negative",TRAIN!A:A,"b",TRAIN!B:B,"x")</f>
        <v>8</v>
      </c>
      <c r="M216" s="8" t="s">
        <v>21</v>
      </c>
      <c r="N216">
        <f>COUNTIFS(TRAIN!E:E,"x",TRAIN!J:J,"negative",TRAIN!A:A,"o",TRAIN!G:G,"x")</f>
        <v>16</v>
      </c>
      <c r="P216" s="8" t="s">
        <v>21</v>
      </c>
      <c r="Q216">
        <f>COUNTIFS(TRAIN!E:E,"b",TRAIN!J:J,"negative",TRAIN!C:C,"x",TRAIN!F:F,"x")</f>
        <v>6</v>
      </c>
    </row>
    <row r="217" spans="1:20" x14ac:dyDescent="0.3">
      <c r="A217" s="8" t="s">
        <v>23</v>
      </c>
      <c r="B217">
        <f>COUNTIFS(TRAIN!D:D,"x",TRAIN!J:J,"positive",TRAIN!E:E,"b",TRAIN!C:C,"b")</f>
        <v>11</v>
      </c>
      <c r="D217" s="8" t="s">
        <v>22</v>
      </c>
      <c r="E217">
        <f>E215+E216</f>
        <v>130</v>
      </c>
      <c r="G217" s="8" t="s">
        <v>22</v>
      </c>
      <c r="H217">
        <f>H215+H216</f>
        <v>90</v>
      </c>
      <c r="J217" s="8" t="s">
        <v>22</v>
      </c>
      <c r="K217">
        <f>K215+K216</f>
        <v>36</v>
      </c>
      <c r="M217" s="8" t="s">
        <v>22</v>
      </c>
      <c r="N217">
        <f>N215+N216</f>
        <v>74</v>
      </c>
      <c r="P217" s="8" t="s">
        <v>22</v>
      </c>
      <c r="Q217">
        <f>Q215+Q216</f>
        <v>32</v>
      </c>
    </row>
    <row r="218" spans="1:20" x14ac:dyDescent="0.3">
      <c r="A218" s="8" t="s">
        <v>24</v>
      </c>
      <c r="B218">
        <f>COUNTIFS(TRAIN!D:D,"x",TRAIN!J:J,"negative",TRAIN!E:E,"b",TRAIN!C:C,"b")</f>
        <v>3</v>
      </c>
    </row>
    <row r="219" spans="1:20" ht="15.6" x14ac:dyDescent="0.3">
      <c r="A219" s="8" t="s">
        <v>25</v>
      </c>
      <c r="B219">
        <f>COUNTIFS(TRAIN!D:D,"b",TRAIN!J:J,"positive",TRAIN!E:E,"b",TRAIN!C:C,"b")</f>
        <v>3</v>
      </c>
      <c r="D219" s="16" t="s">
        <v>36</v>
      </c>
      <c r="E219" s="16"/>
      <c r="G219" s="16" t="s">
        <v>30</v>
      </c>
      <c r="H219" s="16"/>
      <c r="J219" s="16" t="s">
        <v>39</v>
      </c>
      <c r="K219" s="16"/>
      <c r="M219" s="16" t="s">
        <v>41</v>
      </c>
      <c r="N219" s="16"/>
      <c r="P219" s="16" t="s">
        <v>64</v>
      </c>
      <c r="Q219" s="16"/>
    </row>
    <row r="220" spans="1:20" x14ac:dyDescent="0.3">
      <c r="A220" s="8" t="s">
        <v>26</v>
      </c>
      <c r="B220">
        <f>COUNTIFS(TRAIN!D:D,"b",TRAIN!J:J,"negative",TRAIN!E:E,"b",TRAIN!C:C,"b")</f>
        <v>1</v>
      </c>
    </row>
    <row r="221" spans="1:20" x14ac:dyDescent="0.3">
      <c r="A221" s="8" t="s">
        <v>27</v>
      </c>
      <c r="B221">
        <f>COUNTIFS(TRAIN!D:D,"o",TRAIN!J:J,"positive",TRAIN!E:E,"b",TRAIN!C:C,"b")</f>
        <v>5</v>
      </c>
      <c r="D221" s="8" t="s">
        <v>20</v>
      </c>
      <c r="E221">
        <f>COUNTIFS(TRAIN!E:E,"o",TRAIN!J:J,"positive",TRAIN!H:H,"b")</f>
        <v>43</v>
      </c>
      <c r="G221" s="8" t="s">
        <v>20</v>
      </c>
      <c r="H221">
        <f>COUNTIFS(TRAIN!E:E,"x",TRAIN!J:J,"positive",TRAIN!A:A,"x",TRAIN!I:I,"b")</f>
        <v>20</v>
      </c>
      <c r="J221" s="8" t="s">
        <v>20</v>
      </c>
      <c r="K221">
        <f>COUNTIFS(TRAIN!E:E,"x",TRAIN!J:J,"positive",TRAIN!A:A,"b",TRAIN!B:B,"b")</f>
        <v>7</v>
      </c>
      <c r="M221" s="8" t="s">
        <v>20</v>
      </c>
      <c r="N221">
        <f>COUNTIFS(TRAIN!E:E,"x",TRAIN!J:J,"positive",TRAIN!A:A,"o",TRAIN!G:G,"b")</f>
        <v>31</v>
      </c>
      <c r="P221" s="8" t="s">
        <v>20</v>
      </c>
      <c r="Q221">
        <f>COUNTIFS(TRAIN!E:E,"b",TRAIN!J:J,"positive",TRAIN!C:C,"x",TRAIN!F:F,"b")</f>
        <v>11</v>
      </c>
    </row>
    <row r="222" spans="1:20" x14ac:dyDescent="0.3">
      <c r="A222" s="8" t="s">
        <v>28</v>
      </c>
      <c r="B222">
        <f>COUNTIFS(TRAIN!D:D,"o",TRAIN!J:J,"negative",TRAIN!E:E,"b",TRAIN!C:C,"b")</f>
        <v>4</v>
      </c>
      <c r="D222" s="8" t="s">
        <v>21</v>
      </c>
      <c r="E222">
        <f>COUNTIFS(TRAIN!E:E,"o",TRAIN!J:J,"negative",TRAIN!H:H,"b")</f>
        <v>33</v>
      </c>
      <c r="G222" s="8" t="s">
        <v>21</v>
      </c>
      <c r="H222">
        <f>COUNTIFS(TRAIN!E:E,"x",TRAIN!J:J,"negative",TRAIN!A:A,"x",TRAIN!I:I,"b")</f>
        <v>0</v>
      </c>
      <c r="J222" s="8" t="s">
        <v>21</v>
      </c>
      <c r="K222">
        <f>COUNTIFS(TRAIN!E:E,"x",TRAIN!J:J,"negative",TRAIN!A:A,"b",TRAIN!B:B,"b")</f>
        <v>5</v>
      </c>
      <c r="M222" s="8" t="s">
        <v>21</v>
      </c>
      <c r="N222">
        <f>COUNTIFS(TRAIN!E:E,"x",TRAIN!J:J,"negative",TRAIN!A:A,"o",TRAIN!G:G,"b")</f>
        <v>7</v>
      </c>
      <c r="P222" s="8" t="s">
        <v>21</v>
      </c>
      <c r="Q222">
        <f>COUNTIFS(TRAIN!E:E,"b",TRAIN!J:J,"negative",TRAIN!C:C,"x",TRAIN!F:F,"b")</f>
        <v>3</v>
      </c>
    </row>
    <row r="223" spans="1:20" x14ac:dyDescent="0.3">
      <c r="A223" s="8" t="s">
        <v>22</v>
      </c>
      <c r="B223">
        <f t="shared" ref="B223" si="84">B217+B218+B219+B220+B221+B222</f>
        <v>27</v>
      </c>
      <c r="D223" s="8" t="s">
        <v>22</v>
      </c>
      <c r="E223">
        <f>E221+E222</f>
        <v>76</v>
      </c>
      <c r="G223" s="8" t="s">
        <v>22</v>
      </c>
      <c r="H223">
        <f>H221+H222</f>
        <v>20</v>
      </c>
      <c r="J223" s="8" t="s">
        <v>22</v>
      </c>
      <c r="K223">
        <f>K221+K222</f>
        <v>12</v>
      </c>
      <c r="M223" s="8" t="s">
        <v>22</v>
      </c>
      <c r="N223">
        <f>N221+N222</f>
        <v>38</v>
      </c>
      <c r="P223" s="8" t="s">
        <v>22</v>
      </c>
      <c r="Q223">
        <f>Q221+Q222</f>
        <v>14</v>
      </c>
    </row>
    <row r="225" spans="1:8" x14ac:dyDescent="0.3">
      <c r="A225" s="8" t="s">
        <v>20</v>
      </c>
      <c r="B225">
        <f>COUNTIFS(TRAIN!E:E,"b",TRAIN!J:J,"positive",TRAIN!C:C,"b")</f>
        <v>19</v>
      </c>
    </row>
    <row r="226" spans="1:8" x14ac:dyDescent="0.3">
      <c r="A226" s="8" t="s">
        <v>21</v>
      </c>
      <c r="B226">
        <f>COUNTIFS(TRAIN!E:E,"b",TRAIN!J:J,"negative",TRAIN!C:C,"b")</f>
        <v>8</v>
      </c>
    </row>
    <row r="227" spans="1:8" x14ac:dyDescent="0.3">
      <c r="A227" s="8" t="s">
        <v>22</v>
      </c>
      <c r="B227">
        <f>B225+B226</f>
        <v>27</v>
      </c>
    </row>
    <row r="230" spans="1:8" x14ac:dyDescent="0.3">
      <c r="A230" s="17" t="s">
        <v>52</v>
      </c>
      <c r="B230" s="17"/>
      <c r="G230" s="17" t="s">
        <v>53</v>
      </c>
      <c r="H230" s="17"/>
    </row>
    <row r="232" spans="1:8" x14ac:dyDescent="0.3">
      <c r="A232" s="13" t="s">
        <v>42</v>
      </c>
      <c r="B232" s="13" t="s">
        <v>43</v>
      </c>
      <c r="D232" s="13" t="s">
        <v>44</v>
      </c>
      <c r="E232" s="13" t="s">
        <v>45</v>
      </c>
      <c r="G232" s="13" t="s">
        <v>54</v>
      </c>
      <c r="H232" s="13" t="s">
        <v>42</v>
      </c>
    </row>
    <row r="233" spans="1:8" x14ac:dyDescent="0.3">
      <c r="A233" s="12" t="str" cm="1">
        <f t="array" ref="A233">_xlfn.IFS(AND(TEST!E2="x",TEST!A2="x",TEST!I2="x"),"positive",AND(TEST!E2="x",TEST!A2="x",TEST!I2="b"),"positive",AND(TEST!E2="x",TEST!A2="x",TEST!I2="o"),"positive",AND(TEST!E2="x",TEST!A2="b",TEST!B2="x"),"positive",AND(TEST!E2="x",TEST!A2="b",TEST!B2="b"),"positive",AND(TEST!E2="x",TEST!A2="b",TEST!B2="o"),"positive",AND(TEST!E2="x",TEST!A2="o",TEST!G2="x"),"positive",AND(TEST!E2="x",TEST!A2="o",TEST!G2="b"),"positive",AND(TEST!E2="x",TEST!A2="o",TEST!G2="o"),"positive",AND(TEST!E2="b",TEST!C2="x",TEST!F2="x"),"positive",AND(TEST!E2="b",TEST!C2="x",TEST!F2="b"),"positive",AND(TEST!E2="b",TEST!C2="x",TEST!F2="o"),"positive",AND(TEST!E2="b",TEST!C2="b"),"positive",AND(TEST!E2="b",TEST!C2="o"),"positive",AND(TEST!E2="o",TEST!H2="x"),"negative",AND(TEST!E2="o",TEST!H2="b"),"positive",AND(TEST!E2="o",TEST!H2="o"),"negative")</f>
        <v>positive</v>
      </c>
      <c r="B233" s="12" t="str">
        <f>TEST!J2</f>
        <v>positive</v>
      </c>
      <c r="D233" s="12">
        <f>COUNTIFS(A233:A332,"positive",B233:B332,"positive")</f>
        <v>38</v>
      </c>
      <c r="E233" s="14">
        <f>COUNTIFS(A233:A332,"negative",B233:B332,"negative")</f>
        <v>23</v>
      </c>
      <c r="G233" s="12" t="str">
        <f>"[" &amp; NEW!A2 &amp; "," &amp; NEW!B2 &amp; "," &amp; NEW!C2 &amp; "," &amp; NEW!D2 &amp; "," &amp; NEW!E2 &amp; "," &amp; NEW!F2 &amp; "," &amp; NEW!G2 &amp; "," &amp; NEW!H2 &amp; "," &amp; NEW!I2 &amp; "]"</f>
        <v>[o,o,b,x,x,x,x,b,o]</v>
      </c>
      <c r="H233" s="11" t="str" cm="1">
        <f t="array" ref="H233">_xlfn.IFS(AND(NEW!E2="x",NEW!A2="x",NEW!I2="x"),"positive",AND(NEW!E2="x",NEW!A2="x",NEW!I2="b"),"positive",AND(NEW!E2="x",NEW!A2="x",NEW!I2="o"),"positive",AND(NEW!E2="x",NEW!A2="b",NEW!B2="x"),"positive",AND(NEW!E2="x",NEW!A2="b",NEW!B2="b"),"positive",AND(NEW!E2="x",NEW!A2="b",NEW!B2="o"),"positive",AND(NEW!E2="x",NEW!A2="o",NEW!G2="x"),"positive",AND(NEW!E2="x",NEW!A2="o",NEW!G2="b"),"positive",AND(NEW!E2="x",NEW!A2="o",NEW!G2="o"),"positive",AND(NEW!E2="b",NEW!C2="x",NEW!F2="x"),"positive",AND(NEW!E2="b",NEW!C2="x",NEW!F2="b"),"positive",AND(NEW!E2="b",NEW!C2="x",NEW!F2="o"),"positive",AND(NEW!E2="b",NEW!C2="b"),"positive",AND(NEW!E2="b",NEW!C2="o"),"positive",AND(NEW!E2="o",NEW!H2="x"),"negative",AND(NEW!E2="o",NEW!H2="b"),"positive",AND(NEW!E2="o",NEW!H2="o"),"negative")</f>
        <v>positive</v>
      </c>
    </row>
    <row r="234" spans="1:8" x14ac:dyDescent="0.3">
      <c r="A234" s="12" t="str" cm="1">
        <f t="array" ref="A234">_xlfn.IFS(AND(TEST!E3="x",TEST!A3="x",TEST!I3="x"),"positive",AND(TEST!E3="x",TEST!A3="x",TEST!I3="b"),"positive",AND(TEST!E3="x",TEST!A3="x",TEST!I3="o"),"positive",AND(TEST!E3="x",TEST!A3="b",TEST!B3="x"),"positive",AND(TEST!E3="x",TEST!A3="b",TEST!B3="b"),"positive",AND(TEST!E3="x",TEST!A3="b",TEST!B3="o"),"positive",AND(TEST!E3="x",TEST!A3="o",TEST!G3="x"),"positive",AND(TEST!E3="x",TEST!A3="o",TEST!G3="b"),"positive",AND(TEST!E3="x",TEST!A3="o",TEST!G3="o"),"positive",AND(TEST!E3="b",TEST!C3="x",TEST!F3="x"),"positive",AND(TEST!E3="b",TEST!C3="x",TEST!F3="b"),"positive",AND(TEST!E3="b",TEST!C3="x",TEST!F3="o"),"positive",AND(TEST!E3="b",TEST!C3="b"),"positive",AND(TEST!E3="b",TEST!C3="o"),"positive",AND(TEST!E3="o",TEST!H3="x"),"negative",AND(TEST!E3="o",TEST!H3="b"),"positive",AND(TEST!E3="o",TEST!H3="o"),"negative")</f>
        <v>negative</v>
      </c>
      <c r="B234" s="12" t="str">
        <f>TEST!J3</f>
        <v>positive</v>
      </c>
      <c r="D234" s="13" t="s">
        <v>46</v>
      </c>
      <c r="E234" s="13" t="s">
        <v>47</v>
      </c>
      <c r="G234" s="12" t="str">
        <f>"[" &amp; NEW!A3 &amp; "," &amp; NEW!B3 &amp; "," &amp; NEW!C3 &amp; "," &amp; NEW!D3 &amp; "," &amp; NEW!E3 &amp; "," &amp; NEW!F3 &amp; "," &amp; NEW!G3 &amp; "," &amp; NEW!H3 &amp; "," &amp; NEW!I3 &amp; "]"</f>
        <v>[o,o,b,x,x,x,o,x,b]</v>
      </c>
      <c r="H234" s="11" t="str" cm="1">
        <f t="array" ref="H234">_xlfn.IFS(AND(NEW!E3="x",NEW!A3="x",NEW!I3="x"),"positive",AND(NEW!E3="x",NEW!A3="x",NEW!I3="b"),"positive",AND(NEW!E3="x",NEW!A3="x",NEW!I3="o"),"positive",AND(NEW!E3="x",NEW!A3="b",NEW!B3="x"),"positive",AND(NEW!E3="x",NEW!A3="b",NEW!B3="b"),"positive",AND(NEW!E3="x",NEW!A3="b",NEW!B3="o"),"positive",AND(NEW!E3="x",NEW!A3="o",NEW!G3="x"),"positive",AND(NEW!E3="x",NEW!A3="o",NEW!G3="b"),"positive",AND(NEW!E3="x",NEW!A3="o",NEW!G3="o"),"positive",AND(NEW!E3="b",NEW!C3="x",NEW!F3="x"),"positive",AND(NEW!E3="b",NEW!C3="x",NEW!F3="b"),"positive",AND(NEW!E3="b",NEW!C3="x",NEW!F3="o"),"positive",AND(NEW!E3="b",NEW!C3="b"),"positive",AND(NEW!E3="b",NEW!C3="o"),"positive",AND(NEW!E3="o",NEW!H3="x"),"negative",AND(NEW!E3="o",NEW!H3="b"),"positive",AND(NEW!E3="o",NEW!H3="o"),"negative")</f>
        <v>positive</v>
      </c>
    </row>
    <row r="235" spans="1:8" x14ac:dyDescent="0.3">
      <c r="A235" s="12" t="str" cm="1">
        <f t="array" ref="A235">_xlfn.IFS(AND(TEST!E4="x",TEST!A4="x",TEST!I4="x"),"positive",AND(TEST!E4="x",TEST!A4="x",TEST!I4="b"),"positive",AND(TEST!E4="x",TEST!A4="x",TEST!I4="o"),"positive",AND(TEST!E4="x",TEST!A4="b",TEST!B4="x"),"positive",AND(TEST!E4="x",TEST!A4="b",TEST!B4="b"),"positive",AND(TEST!E4="x",TEST!A4="b",TEST!B4="o"),"positive",AND(TEST!E4="x",TEST!A4="o",TEST!G4="x"),"positive",AND(TEST!E4="x",TEST!A4="o",TEST!G4="b"),"positive",AND(TEST!E4="x",TEST!A4="o",TEST!G4="o"),"positive",AND(TEST!E4="b",TEST!C4="x",TEST!F4="x"),"positive",AND(TEST!E4="b",TEST!C4="x",TEST!F4="b"),"positive",AND(TEST!E4="b",TEST!C4="x",TEST!F4="o"),"positive",AND(TEST!E4="b",TEST!C4="b"),"positive",AND(TEST!E4="b",TEST!C4="o"),"positive",AND(TEST!E4="o",TEST!H4="x"),"negative",AND(TEST!E4="o",TEST!H4="b"),"positive",AND(TEST!E4="o",TEST!H4="o"),"negative")</f>
        <v>negative</v>
      </c>
      <c r="B235" s="12" t="str">
        <f>TEST!J4</f>
        <v>positive</v>
      </c>
      <c r="D235" s="12">
        <f>COUNTIFS(A233:A332,"positive",B233:B332,"negative")</f>
        <v>27</v>
      </c>
      <c r="E235" s="12">
        <f>COUNTIFS(A233:A332,"negative",B233:B332,"positive")</f>
        <v>12</v>
      </c>
      <c r="G235" s="12" t="str">
        <f>"[" &amp; NEW!A4 &amp; "," &amp; NEW!B4 &amp; "," &amp; NEW!C4 &amp; "," &amp; NEW!D4 &amp; "," &amp; NEW!E4 &amp; "," &amp; NEW!F4 &amp; "," &amp; NEW!G4 &amp; "," &amp; NEW!H4 &amp; "," &amp; NEW!I4 &amp; "]"</f>
        <v>[o,o,b,x,x,x,o,b,x]</v>
      </c>
      <c r="H235" s="11" t="str" cm="1">
        <f t="array" ref="H235">_xlfn.IFS(AND(NEW!E4="x",NEW!A4="x",NEW!I4="x"),"positive",AND(NEW!E4="x",NEW!A4="x",NEW!I4="b"),"positive",AND(NEW!E4="x",NEW!A4="x",NEW!I4="o"),"positive",AND(NEW!E4="x",NEW!A4="b",NEW!B4="x"),"positive",AND(NEW!E4="x",NEW!A4="b",NEW!B4="b"),"positive",AND(NEW!E4="x",NEW!A4="b",NEW!B4="o"),"positive",AND(NEW!E4="x",NEW!A4="o",NEW!G4="x"),"positive",AND(NEW!E4="x",NEW!A4="o",NEW!G4="b"),"positive",AND(NEW!E4="x",NEW!A4="o",NEW!G4="o"),"positive",AND(NEW!E4="b",NEW!C4="x",NEW!F4="x"),"positive",AND(NEW!E4="b",NEW!C4="x",NEW!F4="b"),"positive",AND(NEW!E4="b",NEW!C4="x",NEW!F4="o"),"positive",AND(NEW!E4="b",NEW!C4="b"),"positive",AND(NEW!E4="b",NEW!C4="o"),"positive",AND(NEW!E4="o",NEW!H4="x"),"negative",AND(NEW!E4="o",NEW!H4="b"),"positive",AND(NEW!E4="o",NEW!H4="o"),"negative")</f>
        <v>positive</v>
      </c>
    </row>
    <row r="236" spans="1:8" x14ac:dyDescent="0.3">
      <c r="A236" s="12" t="str" cm="1">
        <f t="array" ref="A236">_xlfn.IFS(AND(TEST!E5="x",TEST!A5="x",TEST!I5="x"),"positive",AND(TEST!E5="x",TEST!A5="x",TEST!I5="b"),"positive",AND(TEST!E5="x",TEST!A5="x",TEST!I5="o"),"positive",AND(TEST!E5="x",TEST!A5="b",TEST!B5="x"),"positive",AND(TEST!E5="x",TEST!A5="b",TEST!B5="b"),"positive",AND(TEST!E5="x",TEST!A5="b",TEST!B5="o"),"positive",AND(TEST!E5="x",TEST!A5="o",TEST!G5="x"),"positive",AND(TEST!E5="x",TEST!A5="o",TEST!G5="b"),"positive",AND(TEST!E5="x",TEST!A5="o",TEST!G5="o"),"positive",AND(TEST!E5="b",TEST!C5="x",TEST!F5="x"),"positive",AND(TEST!E5="b",TEST!C5="x",TEST!F5="b"),"positive",AND(TEST!E5="b",TEST!C5="x",TEST!F5="o"),"positive",AND(TEST!E5="b",TEST!C5="b"),"positive",AND(TEST!E5="b",TEST!C5="o"),"positive",AND(TEST!E5="o",TEST!H5="x"),"negative",AND(TEST!E5="o",TEST!H5="b"),"positive",AND(TEST!E5="o",TEST!H5="o"),"negative")</f>
        <v>positive</v>
      </c>
      <c r="B236" s="12" t="str">
        <f>TEST!J5</f>
        <v>positive</v>
      </c>
      <c r="G236" s="12" t="str">
        <f>"[" &amp; NEW!A5 &amp; "," &amp; NEW!B5 &amp; "," &amp; NEW!C5 &amp; "," &amp; NEW!D5 &amp; "," &amp; NEW!E5 &amp; "," &amp; NEW!F5 &amp; "," &amp; NEW!G5 &amp; "," &amp; NEW!H5 &amp; "," &amp; NEW!I5 &amp; "]"</f>
        <v>[o,o,b,x,x,x,b,x,o]</v>
      </c>
      <c r="H236" s="11" t="str" cm="1">
        <f t="array" ref="H236">_xlfn.IFS(AND(NEW!E5="x",NEW!A5="x",NEW!I5="x"),"positive",AND(NEW!E5="x",NEW!A5="x",NEW!I5="b"),"positive",AND(NEW!E5="x",NEW!A5="x",NEW!I5="o"),"positive",AND(NEW!E5="x",NEW!A5="b",NEW!B5="x"),"positive",AND(NEW!E5="x",NEW!A5="b",NEW!B5="b"),"positive",AND(NEW!E5="x",NEW!A5="b",NEW!B5="o"),"positive",AND(NEW!E5="x",NEW!A5="o",NEW!G5="x"),"positive",AND(NEW!E5="x",NEW!A5="o",NEW!G5="b"),"positive",AND(NEW!E5="x",NEW!A5="o",NEW!G5="o"),"positive",AND(NEW!E5="b",NEW!C5="x",NEW!F5="x"),"positive",AND(NEW!E5="b",NEW!C5="x",NEW!F5="b"),"positive",AND(NEW!E5="b",NEW!C5="x",NEW!F5="o"),"positive",AND(NEW!E5="b",NEW!C5="b"),"positive",AND(NEW!E5="b",NEW!C5="o"),"positive",AND(NEW!E5="o",NEW!H5="x"),"negative",AND(NEW!E5="o",NEW!H5="b"),"positive",AND(NEW!E5="o",NEW!H5="o"),"negative")</f>
        <v>positive</v>
      </c>
    </row>
    <row r="237" spans="1:8" x14ac:dyDescent="0.3">
      <c r="A237" s="12" t="str" cm="1">
        <f t="array" ref="A237">_xlfn.IFS(AND(TEST!E6="x",TEST!A6="x",TEST!I6="x"),"positive",AND(TEST!E6="x",TEST!A6="x",TEST!I6="b"),"positive",AND(TEST!E6="x",TEST!A6="x",TEST!I6="o"),"positive",AND(TEST!E6="x",TEST!A6="b",TEST!B6="x"),"positive",AND(TEST!E6="x",TEST!A6="b",TEST!B6="b"),"positive",AND(TEST!E6="x",TEST!A6="b",TEST!B6="o"),"positive",AND(TEST!E6="x",TEST!A6="o",TEST!G6="x"),"positive",AND(TEST!E6="x",TEST!A6="o",TEST!G6="b"),"positive",AND(TEST!E6="x",TEST!A6="o",TEST!G6="o"),"positive",AND(TEST!E6="b",TEST!C6="x",TEST!F6="x"),"positive",AND(TEST!E6="b",TEST!C6="x",TEST!F6="b"),"positive",AND(TEST!E6="b",TEST!C6="x",TEST!F6="o"),"positive",AND(TEST!E6="b",TEST!C6="b"),"positive",AND(TEST!E6="b",TEST!C6="o"),"positive",AND(TEST!E6="o",TEST!H6="x"),"negative",AND(TEST!E6="o",TEST!H6="b"),"positive",AND(TEST!E6="o",TEST!H6="o"),"negative")</f>
        <v>positive</v>
      </c>
      <c r="B237" s="12" t="str">
        <f>TEST!J6</f>
        <v>positive</v>
      </c>
      <c r="G237" s="12" t="str">
        <f>"[" &amp; NEW!A6 &amp; "," &amp; NEW!B6 &amp; "," &amp; NEW!C6 &amp; "," &amp; NEW!D6 &amp; "," &amp; NEW!E6 &amp; "," &amp; NEW!F6 &amp; "," &amp; NEW!G6 &amp; "," &amp; NEW!H6 &amp; "," &amp; NEW!I6 &amp; "]"</f>
        <v>[o,o,b,x,x,x,b,o,x]</v>
      </c>
      <c r="H237" s="11" t="str" cm="1">
        <f t="array" ref="H237">_xlfn.IFS(AND(NEW!E6="x",NEW!A6="x",NEW!I6="x"),"positive",AND(NEW!E6="x",NEW!A6="x",NEW!I6="b"),"positive",AND(NEW!E6="x",NEW!A6="x",NEW!I6="o"),"positive",AND(NEW!E6="x",NEW!A6="b",NEW!B6="x"),"positive",AND(NEW!E6="x",NEW!A6="b",NEW!B6="b"),"positive",AND(NEW!E6="x",NEW!A6="b",NEW!B6="o"),"positive",AND(NEW!E6="x",NEW!A6="o",NEW!G6="x"),"positive",AND(NEW!E6="x",NEW!A6="o",NEW!G6="b"),"positive",AND(NEW!E6="x",NEW!A6="o",NEW!G6="o"),"positive",AND(NEW!E6="b",NEW!C6="x",NEW!F6="x"),"positive",AND(NEW!E6="b",NEW!C6="x",NEW!F6="b"),"positive",AND(NEW!E6="b",NEW!C6="x",NEW!F6="o"),"positive",AND(NEW!E6="b",NEW!C6="b"),"positive",AND(NEW!E6="b",NEW!C6="o"),"positive",AND(NEW!E6="o",NEW!H6="x"),"negative",AND(NEW!E6="o",NEW!H6="b"),"positive",AND(NEW!E6="o",NEW!H6="o"),"negative")</f>
        <v>positive</v>
      </c>
    </row>
    <row r="238" spans="1:8" x14ac:dyDescent="0.3">
      <c r="A238" s="12" t="str" cm="1">
        <f t="array" ref="A238">_xlfn.IFS(AND(TEST!E7="x",TEST!A7="x",TEST!I7="x"),"positive",AND(TEST!E7="x",TEST!A7="x",TEST!I7="b"),"positive",AND(TEST!E7="x",TEST!A7="x",TEST!I7="o"),"positive",AND(TEST!E7="x",TEST!A7="b",TEST!B7="x"),"positive",AND(TEST!E7="x",TEST!A7="b",TEST!B7="b"),"positive",AND(TEST!E7="x",TEST!A7="b",TEST!B7="o"),"positive",AND(TEST!E7="x",TEST!A7="o",TEST!G7="x"),"positive",AND(TEST!E7="x",TEST!A7="o",TEST!G7="b"),"positive",AND(TEST!E7="x",TEST!A7="o",TEST!G7="o"),"positive",AND(TEST!E7="b",TEST!C7="x",TEST!F7="x"),"positive",AND(TEST!E7="b",TEST!C7="x",TEST!F7="b"),"positive",AND(TEST!E7="b",TEST!C7="x",TEST!F7="o"),"positive",AND(TEST!E7="b",TEST!C7="b"),"positive",AND(TEST!E7="b",TEST!C7="o"),"positive",AND(TEST!E7="o",TEST!H7="x"),"negative",AND(TEST!E7="o",TEST!H7="b"),"positive",AND(TEST!E7="o",TEST!H7="o"),"negative")</f>
        <v>positive</v>
      </c>
      <c r="B238" s="12" t="str">
        <f>TEST!J7</f>
        <v>positive</v>
      </c>
      <c r="D238" s="15" t="s">
        <v>48</v>
      </c>
      <c r="E238" s="12">
        <f>(D233+E233)/(D233+E233+D235+E235)</f>
        <v>0.61</v>
      </c>
      <c r="G238" s="12" t="str">
        <f>"[" &amp; NEW!A7 &amp; "," &amp; NEW!B7 &amp; "," &amp; NEW!C7 &amp; "," &amp; NEW!D7 &amp; "," &amp; NEW!E7 &amp; "," &amp; NEW!F7 &amp; "," &amp; NEW!G7 &amp; "," &amp; NEW!H7 &amp; "," &amp; NEW!I7 &amp; "]"</f>
        <v>[x,b,b,o,o,o,b,x,x]</v>
      </c>
      <c r="H238" s="11" t="str" cm="1">
        <f t="array" ref="H238">_xlfn.IFS(AND(NEW!E7="x",NEW!A7="x",NEW!I7="x"),"positive",AND(NEW!E7="x",NEW!A7="x",NEW!I7="b"),"positive",AND(NEW!E7="x",NEW!A7="x",NEW!I7="o"),"positive",AND(NEW!E7="x",NEW!A7="b",NEW!B7="x"),"positive",AND(NEW!E7="x",NEW!A7="b",NEW!B7="b"),"positive",AND(NEW!E7="x",NEW!A7="b",NEW!B7="o"),"positive",AND(NEW!E7="x",NEW!A7="o",NEW!G7="x"),"positive",AND(NEW!E7="x",NEW!A7="o",NEW!G7="b"),"positive",AND(NEW!E7="x",NEW!A7="o",NEW!G7="o"),"positive",AND(NEW!E7="b",NEW!C7="x",NEW!F7="x"),"positive",AND(NEW!E7="b",NEW!C7="x",NEW!F7="b"),"positive",AND(NEW!E7="b",NEW!C7="x",NEW!F7="o"),"positive",AND(NEW!E7="b",NEW!C7="b"),"positive",AND(NEW!E7="b",NEW!C7="o"),"positive",AND(NEW!E7="o",NEW!H7="x"),"negative",AND(NEW!E7="o",NEW!H7="b"),"positive",AND(NEW!E7="o",NEW!H7="o"),"negative")</f>
        <v>negative</v>
      </c>
    </row>
    <row r="239" spans="1:8" x14ac:dyDescent="0.3">
      <c r="A239" s="12" t="str" cm="1">
        <f t="array" ref="A239">_xlfn.IFS(AND(TEST!E8="x",TEST!A8="x",TEST!I8="x"),"positive",AND(TEST!E8="x",TEST!A8="x",TEST!I8="b"),"positive",AND(TEST!E8="x",TEST!A8="x",TEST!I8="o"),"positive",AND(TEST!E8="x",TEST!A8="b",TEST!B8="x"),"positive",AND(TEST!E8="x",TEST!A8="b",TEST!B8="b"),"positive",AND(TEST!E8="x",TEST!A8="b",TEST!B8="o"),"positive",AND(TEST!E8="x",TEST!A8="o",TEST!G8="x"),"positive",AND(TEST!E8="x",TEST!A8="o",TEST!G8="b"),"positive",AND(TEST!E8="x",TEST!A8="o",TEST!G8="o"),"positive",AND(TEST!E8="b",TEST!C8="x",TEST!F8="x"),"positive",AND(TEST!E8="b",TEST!C8="x",TEST!F8="b"),"positive",AND(TEST!E8="b",TEST!C8="x",TEST!F8="o"),"positive",AND(TEST!E8="b",TEST!C8="b"),"positive",AND(TEST!E8="b",TEST!C8="o"),"positive",AND(TEST!E8="o",TEST!H8="x"),"negative",AND(TEST!E8="o",TEST!H8="b"),"positive",AND(TEST!E8="o",TEST!H8="o"),"negative")</f>
        <v>positive</v>
      </c>
      <c r="B239" s="12" t="str">
        <f>TEST!J8</f>
        <v>positive</v>
      </c>
      <c r="D239" s="15" t="s">
        <v>49</v>
      </c>
      <c r="E239" s="12">
        <f>D233/(D233+D235)</f>
        <v>0.58461538461538465</v>
      </c>
      <c r="G239" s="12" t="str">
        <f>"[" &amp; NEW!A8 &amp; "," &amp; NEW!B8 &amp; "," &amp; NEW!C8 &amp; "," &amp; NEW!D8 &amp; "," &amp; NEW!E8 &amp; "," &amp; NEW!F8 &amp; "," &amp; NEW!G8 &amp; "," &amp; NEW!H8 &amp; "," &amp; NEW!I8 &amp; "]"</f>
        <v>[x,b,b,b,x,x,o,o,o]</v>
      </c>
      <c r="H239" s="11" t="str" cm="1">
        <f t="array" ref="H239">_xlfn.IFS(AND(NEW!E8="x",NEW!A8="x",NEW!I8="x"),"positive",AND(NEW!E8="x",NEW!A8="x",NEW!I8="b"),"positive",AND(NEW!E8="x",NEW!A8="x",NEW!I8="o"),"positive",AND(NEW!E8="x",NEW!A8="b",NEW!B8="x"),"positive",AND(NEW!E8="x",NEW!A8="b",NEW!B8="b"),"positive",AND(NEW!E8="x",NEW!A8="b",NEW!B8="o"),"positive",AND(NEW!E8="x",NEW!A8="o",NEW!G8="x"),"positive",AND(NEW!E8="x",NEW!A8="o",NEW!G8="b"),"positive",AND(NEW!E8="x",NEW!A8="o",NEW!G8="o"),"positive",AND(NEW!E8="b",NEW!C8="x",NEW!F8="x"),"positive",AND(NEW!E8="b",NEW!C8="x",NEW!F8="b"),"positive",AND(NEW!E8="b",NEW!C8="x",NEW!F8="o"),"positive",AND(NEW!E8="b",NEW!C8="b"),"positive",AND(NEW!E8="b",NEW!C8="o"),"positive",AND(NEW!E8="o",NEW!H8="x"),"negative",AND(NEW!E8="o",NEW!H8="b"),"positive",AND(NEW!E8="o",NEW!H8="o"),"negative")</f>
        <v>positive</v>
      </c>
    </row>
    <row r="240" spans="1:8" x14ac:dyDescent="0.3">
      <c r="A240" s="12" t="str" cm="1">
        <f t="array" ref="A240">_xlfn.IFS(AND(TEST!E9="x",TEST!A9="x",TEST!I9="x"),"positive",AND(TEST!E9="x",TEST!A9="x",TEST!I9="b"),"positive",AND(TEST!E9="x",TEST!A9="x",TEST!I9="o"),"positive",AND(TEST!E9="x",TEST!A9="b",TEST!B9="x"),"positive",AND(TEST!E9="x",TEST!A9="b",TEST!B9="b"),"positive",AND(TEST!E9="x",TEST!A9="b",TEST!B9="o"),"positive",AND(TEST!E9="x",TEST!A9="o",TEST!G9="x"),"positive",AND(TEST!E9="x",TEST!A9="o",TEST!G9="b"),"positive",AND(TEST!E9="x",TEST!A9="o",TEST!G9="o"),"positive",AND(TEST!E9="b",TEST!C9="x",TEST!F9="x"),"positive",AND(TEST!E9="b",TEST!C9="x",TEST!F9="b"),"positive",AND(TEST!E9="b",TEST!C9="x",TEST!F9="o"),"positive",AND(TEST!E9="b",TEST!C9="b"),"positive",AND(TEST!E9="b",TEST!C9="o"),"positive",AND(TEST!E9="o",TEST!H9="x"),"negative",AND(TEST!E9="o",TEST!H9="b"),"positive",AND(TEST!E9="o",TEST!H9="o"),"negative")</f>
        <v>positive</v>
      </c>
      <c r="B240" s="12" t="str">
        <f>TEST!J9</f>
        <v>positive</v>
      </c>
      <c r="D240" s="15" t="s">
        <v>50</v>
      </c>
      <c r="E240" s="12">
        <f>D233/(D233+E235)</f>
        <v>0.76</v>
      </c>
      <c r="G240" s="12" t="str">
        <f>"[" &amp; NEW!A9 &amp; "," &amp; NEW!B9 &amp; "," &amp; NEW!C9 &amp; "," &amp; NEW!D9 &amp; "," &amp; NEW!E9 &amp; "," &amp; NEW!F9 &amp; "," &amp; NEW!G9 &amp; "," &amp; NEW!H9 &amp; "," &amp; NEW!I9 &amp; "]"</f>
        <v>[o,x,x,x,x,b,o,o,o]</v>
      </c>
      <c r="H240" s="11" t="str" cm="1">
        <f t="array" ref="H240">_xlfn.IFS(AND(NEW!E9="x",NEW!A9="x",NEW!I9="x"),"positive",AND(NEW!E9="x",NEW!A9="x",NEW!I9="b"),"positive",AND(NEW!E9="x",NEW!A9="x",NEW!I9="o"),"positive",AND(NEW!E9="x",NEW!A9="b",NEW!B9="x"),"positive",AND(NEW!E9="x",NEW!A9="b",NEW!B9="b"),"positive",AND(NEW!E9="x",NEW!A9="b",NEW!B9="o"),"positive",AND(NEW!E9="x",NEW!A9="o",NEW!G9="x"),"positive",AND(NEW!E9="x",NEW!A9="o",NEW!G9="b"),"positive",AND(NEW!E9="x",NEW!A9="o",NEW!G9="o"),"positive",AND(NEW!E9="b",NEW!C9="x",NEW!F9="x"),"positive",AND(NEW!E9="b",NEW!C9="x",NEW!F9="b"),"positive",AND(NEW!E9="b",NEW!C9="x",NEW!F9="o"),"positive",AND(NEW!E9="b",NEW!C9="b"),"positive",AND(NEW!E9="b",NEW!C9="o"),"positive",AND(NEW!E9="o",NEW!H9="x"),"negative",AND(NEW!E9="o",NEW!H9="b"),"positive",AND(NEW!E9="o",NEW!H9="o"),"negative")</f>
        <v>positive</v>
      </c>
    </row>
    <row r="241" spans="1:8" x14ac:dyDescent="0.3">
      <c r="A241" s="12" t="str" cm="1">
        <f t="array" ref="A241">_xlfn.IFS(AND(TEST!E10="x",TEST!A10="x",TEST!I10="x"),"positive",AND(TEST!E10="x",TEST!A10="x",TEST!I10="b"),"positive",AND(TEST!E10="x",TEST!A10="x",TEST!I10="o"),"positive",AND(TEST!E10="x",TEST!A10="b",TEST!B10="x"),"positive",AND(TEST!E10="x",TEST!A10="b",TEST!B10="b"),"positive",AND(TEST!E10="x",TEST!A10="b",TEST!B10="o"),"positive",AND(TEST!E10="x",TEST!A10="o",TEST!G10="x"),"positive",AND(TEST!E10="x",TEST!A10="o",TEST!G10="b"),"positive",AND(TEST!E10="x",TEST!A10="o",TEST!G10="o"),"positive",AND(TEST!E10="b",TEST!C10="x",TEST!F10="x"),"positive",AND(TEST!E10="b",TEST!C10="x",TEST!F10="b"),"positive",AND(TEST!E10="b",TEST!C10="x",TEST!F10="o"),"positive",AND(TEST!E10="b",TEST!C10="b"),"positive",AND(TEST!E10="b",TEST!C10="o"),"positive",AND(TEST!E10="o",TEST!H10="x"),"negative",AND(TEST!E10="o",TEST!H10="b"),"positive",AND(TEST!E10="o",TEST!H10="o"),"negative")</f>
        <v>positive</v>
      </c>
      <c r="B241" s="12" t="str">
        <f>TEST!J10</f>
        <v>positive</v>
      </c>
      <c r="D241" s="15" t="s">
        <v>51</v>
      </c>
      <c r="E241" s="12">
        <f>(D235+E235)/(D233+E233+D235+E235)</f>
        <v>0.39</v>
      </c>
      <c r="G241" s="12" t="str">
        <f>"[" &amp; NEW!A10 &amp; "," &amp; NEW!B10 &amp; "," &amp; NEW!C10 &amp; "," &amp; NEW!D10 &amp; "," &amp; NEW!E10 &amp; "," &amp; NEW!F10 &amp; "," &amp; NEW!G10 &amp; "," &amp; NEW!H10 &amp; "," &amp; NEW!I10 &amp; "]"</f>
        <v>[o,x,x,x,o,x,o,b,o]</v>
      </c>
      <c r="H241" s="11" t="str" cm="1">
        <f t="array" ref="H241">_xlfn.IFS(AND(NEW!E10="x",NEW!A10="x",NEW!I10="x"),"positive",AND(NEW!E10="x",NEW!A10="x",NEW!I10="b"),"positive",AND(NEW!E10="x",NEW!A10="x",NEW!I10="o"),"positive",AND(NEW!E10="x",NEW!A10="b",NEW!B10="x"),"positive",AND(NEW!E10="x",NEW!A10="b",NEW!B10="b"),"positive",AND(NEW!E10="x",NEW!A10="b",NEW!B10="o"),"positive",AND(NEW!E10="x",NEW!A10="o",NEW!G10="x"),"positive",AND(NEW!E10="x",NEW!A10="o",NEW!G10="b"),"positive",AND(NEW!E10="x",NEW!A10="o",NEW!G10="o"),"positive",AND(NEW!E10="b",NEW!C10="x",NEW!F10="x"),"positive",AND(NEW!E10="b",NEW!C10="x",NEW!F10="b"),"positive",AND(NEW!E10="b",NEW!C10="x",NEW!F10="o"),"positive",AND(NEW!E10="b",NEW!C10="b"),"positive",AND(NEW!E10="b",NEW!C10="o"),"positive",AND(NEW!E10="o",NEW!H10="x"),"negative",AND(NEW!E10="o",NEW!H10="b"),"positive",AND(NEW!E10="o",NEW!H10="o"),"negative")</f>
        <v>positive</v>
      </c>
    </row>
    <row r="242" spans="1:8" x14ac:dyDescent="0.3">
      <c r="A242" s="12" t="str" cm="1">
        <f t="array" ref="A242">_xlfn.IFS(AND(TEST!E11="x",TEST!A11="x",TEST!I11="x"),"positive",AND(TEST!E11="x",TEST!A11="x",TEST!I11="b"),"positive",AND(TEST!E11="x",TEST!A11="x",TEST!I11="o"),"positive",AND(TEST!E11="x",TEST!A11="b",TEST!B11="x"),"positive",AND(TEST!E11="x",TEST!A11="b",TEST!B11="b"),"positive",AND(TEST!E11="x",TEST!A11="b",TEST!B11="o"),"positive",AND(TEST!E11="x",TEST!A11="o",TEST!G11="x"),"positive",AND(TEST!E11="x",TEST!A11="o",TEST!G11="b"),"positive",AND(TEST!E11="x",TEST!A11="o",TEST!G11="o"),"positive",AND(TEST!E11="b",TEST!C11="x",TEST!F11="x"),"positive",AND(TEST!E11="b",TEST!C11="x",TEST!F11="b"),"positive",AND(TEST!E11="b",TEST!C11="x",TEST!F11="o"),"positive",AND(TEST!E11="b",TEST!C11="b"),"positive",AND(TEST!E11="b",TEST!C11="o"),"positive",AND(TEST!E11="o",TEST!H11="x"),"negative",AND(TEST!E11="o",TEST!H11="b"),"positive",AND(TEST!E11="o",TEST!H11="o"),"negative")</f>
        <v>positive</v>
      </c>
      <c r="B242" s="12" t="str">
        <f>TEST!J11</f>
        <v>positive</v>
      </c>
      <c r="G242" s="12" t="str">
        <f>"[" &amp; NEW!A11 &amp; "," &amp; NEW!B11 &amp; "," &amp; NEW!C11 &amp; "," &amp; NEW!D11 &amp; "," &amp; NEW!E11 &amp; "," &amp; NEW!F11 &amp; "," &amp; NEW!G11 &amp; "," &amp; NEW!H11 &amp; "," &amp; NEW!I11 &amp; "]"</f>
        <v>[o,x,x,x,o,x,b,o,o]</v>
      </c>
      <c r="H242" s="11" t="str" cm="1">
        <f t="array" ref="H242">_xlfn.IFS(AND(NEW!E11="x",NEW!A11="x",NEW!I11="x"),"positive",AND(NEW!E11="x",NEW!A11="x",NEW!I11="b"),"positive",AND(NEW!E11="x",NEW!A11="x",NEW!I11="o"),"positive",AND(NEW!E11="x",NEW!A11="b",NEW!B11="x"),"positive",AND(NEW!E11="x",NEW!A11="b",NEW!B11="b"),"positive",AND(NEW!E11="x",NEW!A11="b",NEW!B11="o"),"positive",AND(NEW!E11="x",NEW!A11="o",NEW!G11="x"),"positive",AND(NEW!E11="x",NEW!A11="o",NEW!G11="b"),"positive",AND(NEW!E11="x",NEW!A11="o",NEW!G11="o"),"positive",AND(NEW!E11="b",NEW!C11="x",NEW!F11="x"),"positive",AND(NEW!E11="b",NEW!C11="x",NEW!F11="b"),"positive",AND(NEW!E11="b",NEW!C11="x",NEW!F11="o"),"positive",AND(NEW!E11="b",NEW!C11="b"),"positive",AND(NEW!E11="b",NEW!C11="o"),"positive",AND(NEW!E11="o",NEW!H11="x"),"negative",AND(NEW!E11="o",NEW!H11="b"),"positive",AND(NEW!E11="o",NEW!H11="o"),"negative")</f>
        <v>negative</v>
      </c>
    </row>
    <row r="243" spans="1:8" x14ac:dyDescent="0.3">
      <c r="A243" s="12" t="str" cm="1">
        <f t="array" ref="A243">_xlfn.IFS(AND(TEST!E12="x",TEST!A12="x",TEST!I12="x"),"positive",AND(TEST!E12="x",TEST!A12="x",TEST!I12="b"),"positive",AND(TEST!E12="x",TEST!A12="x",TEST!I12="o"),"positive",AND(TEST!E12="x",TEST!A12="b",TEST!B12="x"),"positive",AND(TEST!E12="x",TEST!A12="b",TEST!B12="b"),"positive",AND(TEST!E12="x",TEST!A12="b",TEST!B12="o"),"positive",AND(TEST!E12="x",TEST!A12="o",TEST!G12="x"),"positive",AND(TEST!E12="x",TEST!A12="o",TEST!G12="b"),"positive",AND(TEST!E12="x",TEST!A12="o",TEST!G12="o"),"positive",AND(TEST!E12="b",TEST!C12="x",TEST!F12="x"),"positive",AND(TEST!E12="b",TEST!C12="x",TEST!F12="b"),"positive",AND(TEST!E12="b",TEST!C12="x",TEST!F12="o"),"positive",AND(TEST!E12="b",TEST!C12="b"),"positive",AND(TEST!E12="b",TEST!C12="o"),"positive",AND(TEST!E12="o",TEST!H12="x"),"negative",AND(TEST!E12="o",TEST!H12="b"),"positive",AND(TEST!E12="o",TEST!H12="o"),"negative")</f>
        <v>negative</v>
      </c>
      <c r="B243" s="12" t="str">
        <f>TEST!J12</f>
        <v>positive</v>
      </c>
    </row>
    <row r="244" spans="1:8" x14ac:dyDescent="0.3">
      <c r="A244" s="12" t="str" cm="1">
        <f t="array" ref="A244">_xlfn.IFS(AND(TEST!E13="x",TEST!A13="x",TEST!I13="x"),"positive",AND(TEST!E13="x",TEST!A13="x",TEST!I13="b"),"positive",AND(TEST!E13="x",TEST!A13="x",TEST!I13="o"),"positive",AND(TEST!E13="x",TEST!A13="b",TEST!B13="x"),"positive",AND(TEST!E13="x",TEST!A13="b",TEST!B13="b"),"positive",AND(TEST!E13="x",TEST!A13="b",TEST!B13="o"),"positive",AND(TEST!E13="x",TEST!A13="o",TEST!G13="x"),"positive",AND(TEST!E13="x",TEST!A13="o",TEST!G13="b"),"positive",AND(TEST!E13="x",TEST!A13="o",TEST!G13="o"),"positive",AND(TEST!E13="b",TEST!C13="x",TEST!F13="x"),"positive",AND(TEST!E13="b",TEST!C13="x",TEST!F13="b"),"positive",AND(TEST!E13="b",TEST!C13="x",TEST!F13="o"),"positive",AND(TEST!E13="b",TEST!C13="b"),"positive",AND(TEST!E13="b",TEST!C13="o"),"positive",AND(TEST!E13="o",TEST!H13="x"),"negative",AND(TEST!E13="o",TEST!H13="b"),"positive",AND(TEST!E13="o",TEST!H13="o"),"negative")</f>
        <v>positive</v>
      </c>
      <c r="B244" s="12" t="str">
        <f>TEST!J13</f>
        <v>positive</v>
      </c>
    </row>
    <row r="245" spans="1:8" x14ac:dyDescent="0.3">
      <c r="A245" s="12" t="str" cm="1">
        <f t="array" ref="A245">_xlfn.IFS(AND(TEST!E14="x",TEST!A14="x",TEST!I14="x"),"positive",AND(TEST!E14="x",TEST!A14="x",TEST!I14="b"),"positive",AND(TEST!E14="x",TEST!A14="x",TEST!I14="o"),"positive",AND(TEST!E14="x",TEST!A14="b",TEST!B14="x"),"positive",AND(TEST!E14="x",TEST!A14="b",TEST!B14="b"),"positive",AND(TEST!E14="x",TEST!A14="b",TEST!B14="o"),"positive",AND(TEST!E14="x",TEST!A14="o",TEST!G14="x"),"positive",AND(TEST!E14="x",TEST!A14="o",TEST!G14="b"),"positive",AND(TEST!E14="x",TEST!A14="o",TEST!G14="o"),"positive",AND(TEST!E14="b",TEST!C14="x",TEST!F14="x"),"positive",AND(TEST!E14="b",TEST!C14="x",TEST!F14="b"),"positive",AND(TEST!E14="b",TEST!C14="x",TEST!F14="o"),"positive",AND(TEST!E14="b",TEST!C14="b"),"positive",AND(TEST!E14="b",TEST!C14="o"),"positive",AND(TEST!E14="o",TEST!H14="x"),"negative",AND(TEST!E14="o",TEST!H14="b"),"positive",AND(TEST!E14="o",TEST!H14="o"),"negative")</f>
        <v>positive</v>
      </c>
      <c r="B245" s="12" t="str">
        <f>TEST!J14</f>
        <v>positive</v>
      </c>
    </row>
    <row r="246" spans="1:8" x14ac:dyDescent="0.3">
      <c r="A246" s="12" t="str" cm="1">
        <f t="array" ref="A246">_xlfn.IFS(AND(TEST!E15="x",TEST!A15="x",TEST!I15="x"),"positive",AND(TEST!E15="x",TEST!A15="x",TEST!I15="b"),"positive",AND(TEST!E15="x",TEST!A15="x",TEST!I15="o"),"positive",AND(TEST!E15="x",TEST!A15="b",TEST!B15="x"),"positive",AND(TEST!E15="x",TEST!A15="b",TEST!B15="b"),"positive",AND(TEST!E15="x",TEST!A15="b",TEST!B15="o"),"positive",AND(TEST!E15="x",TEST!A15="o",TEST!G15="x"),"positive",AND(TEST!E15="x",TEST!A15="o",TEST!G15="b"),"positive",AND(TEST!E15="x",TEST!A15="o",TEST!G15="o"),"positive",AND(TEST!E15="b",TEST!C15="x",TEST!F15="x"),"positive",AND(TEST!E15="b",TEST!C15="x",TEST!F15="b"),"positive",AND(TEST!E15="b",TEST!C15="x",TEST!F15="o"),"positive",AND(TEST!E15="b",TEST!C15="b"),"positive",AND(TEST!E15="b",TEST!C15="o"),"positive",AND(TEST!E15="o",TEST!H15="x"),"negative",AND(TEST!E15="o",TEST!H15="b"),"positive",AND(TEST!E15="o",TEST!H15="o"),"negative")</f>
        <v>positive</v>
      </c>
      <c r="B246" s="12" t="str">
        <f>TEST!J15</f>
        <v>positive</v>
      </c>
    </row>
    <row r="247" spans="1:8" x14ac:dyDescent="0.3">
      <c r="A247" s="12" t="str" cm="1">
        <f t="array" ref="A247">_xlfn.IFS(AND(TEST!E16="x",TEST!A16="x",TEST!I16="x"),"positive",AND(TEST!E16="x",TEST!A16="x",TEST!I16="b"),"positive",AND(TEST!E16="x",TEST!A16="x",TEST!I16="o"),"positive",AND(TEST!E16="x",TEST!A16="b",TEST!B16="x"),"positive",AND(TEST!E16="x",TEST!A16="b",TEST!B16="b"),"positive",AND(TEST!E16="x",TEST!A16="b",TEST!B16="o"),"positive",AND(TEST!E16="x",TEST!A16="o",TEST!G16="x"),"positive",AND(TEST!E16="x",TEST!A16="o",TEST!G16="b"),"positive",AND(TEST!E16="x",TEST!A16="o",TEST!G16="o"),"positive",AND(TEST!E16="b",TEST!C16="x",TEST!F16="x"),"positive",AND(TEST!E16="b",TEST!C16="x",TEST!F16="b"),"positive",AND(TEST!E16="b",TEST!C16="x",TEST!F16="o"),"positive",AND(TEST!E16="b",TEST!C16="b"),"positive",AND(TEST!E16="b",TEST!C16="o"),"positive",AND(TEST!E16="o",TEST!H16="x"),"negative",AND(TEST!E16="o",TEST!H16="b"),"positive",AND(TEST!E16="o",TEST!H16="o"),"negative")</f>
        <v>positive</v>
      </c>
      <c r="B247" s="12" t="str">
        <f>TEST!J16</f>
        <v>positive</v>
      </c>
    </row>
    <row r="248" spans="1:8" x14ac:dyDescent="0.3">
      <c r="A248" s="12" t="str" cm="1">
        <f t="array" ref="A248">_xlfn.IFS(AND(TEST!E17="x",TEST!A17="x",TEST!I17="x"),"positive",AND(TEST!E17="x",TEST!A17="x",TEST!I17="b"),"positive",AND(TEST!E17="x",TEST!A17="x",TEST!I17="o"),"positive",AND(TEST!E17="x",TEST!A17="b",TEST!B17="x"),"positive",AND(TEST!E17="x",TEST!A17="b",TEST!B17="b"),"positive",AND(TEST!E17="x",TEST!A17="b",TEST!B17="o"),"positive",AND(TEST!E17="x",TEST!A17="o",TEST!G17="x"),"positive",AND(TEST!E17="x",TEST!A17="o",TEST!G17="b"),"positive",AND(TEST!E17="x",TEST!A17="o",TEST!G17="o"),"positive",AND(TEST!E17="b",TEST!C17="x",TEST!F17="x"),"positive",AND(TEST!E17="b",TEST!C17="x",TEST!F17="b"),"positive",AND(TEST!E17="b",TEST!C17="x",TEST!F17="o"),"positive",AND(TEST!E17="b",TEST!C17="b"),"positive",AND(TEST!E17="b",TEST!C17="o"),"positive",AND(TEST!E17="o",TEST!H17="x"),"negative",AND(TEST!E17="o",TEST!H17="b"),"positive",AND(TEST!E17="o",TEST!H17="o"),"negative")</f>
        <v>positive</v>
      </c>
      <c r="B248" s="12" t="str">
        <f>TEST!J17</f>
        <v>positive</v>
      </c>
    </row>
    <row r="249" spans="1:8" x14ac:dyDescent="0.3">
      <c r="A249" s="12" t="str" cm="1">
        <f t="array" ref="A249">_xlfn.IFS(AND(TEST!E18="x",TEST!A18="x",TEST!I18="x"),"positive",AND(TEST!E18="x",TEST!A18="x",TEST!I18="b"),"positive",AND(TEST!E18="x",TEST!A18="x",TEST!I18="o"),"positive",AND(TEST!E18="x",TEST!A18="b",TEST!B18="x"),"positive",AND(TEST!E18="x",TEST!A18="b",TEST!B18="b"),"positive",AND(TEST!E18="x",TEST!A18="b",TEST!B18="o"),"positive",AND(TEST!E18="x",TEST!A18="o",TEST!G18="x"),"positive",AND(TEST!E18="x",TEST!A18="o",TEST!G18="b"),"positive",AND(TEST!E18="x",TEST!A18="o",TEST!G18="o"),"positive",AND(TEST!E18="b",TEST!C18="x",TEST!F18="x"),"positive",AND(TEST!E18="b",TEST!C18="x",TEST!F18="b"),"positive",AND(TEST!E18="b",TEST!C18="x",TEST!F18="o"),"positive",AND(TEST!E18="b",TEST!C18="b"),"positive",AND(TEST!E18="b",TEST!C18="o"),"positive",AND(TEST!E18="o",TEST!H18="x"),"negative",AND(TEST!E18="o",TEST!H18="b"),"positive",AND(TEST!E18="o",TEST!H18="o"),"negative")</f>
        <v>positive</v>
      </c>
      <c r="B249" s="12" t="str">
        <f>TEST!J18</f>
        <v>positive</v>
      </c>
    </row>
    <row r="250" spans="1:8" x14ac:dyDescent="0.3">
      <c r="A250" s="12" t="str" cm="1">
        <f t="array" ref="A250">_xlfn.IFS(AND(TEST!E19="x",TEST!A19="x",TEST!I19="x"),"positive",AND(TEST!E19="x",TEST!A19="x",TEST!I19="b"),"positive",AND(TEST!E19="x",TEST!A19="x",TEST!I19="o"),"positive",AND(TEST!E19="x",TEST!A19="b",TEST!B19="x"),"positive",AND(TEST!E19="x",TEST!A19="b",TEST!B19="b"),"positive",AND(TEST!E19="x",TEST!A19="b",TEST!B19="o"),"positive",AND(TEST!E19="x",TEST!A19="o",TEST!G19="x"),"positive",AND(TEST!E19="x",TEST!A19="o",TEST!G19="b"),"positive",AND(TEST!E19="x",TEST!A19="o",TEST!G19="o"),"positive",AND(TEST!E19="b",TEST!C19="x",TEST!F19="x"),"positive",AND(TEST!E19="b",TEST!C19="x",TEST!F19="b"),"positive",AND(TEST!E19="b",TEST!C19="x",TEST!F19="o"),"positive",AND(TEST!E19="b",TEST!C19="b"),"positive",AND(TEST!E19="b",TEST!C19="o"),"positive",AND(TEST!E19="o",TEST!H19="x"),"negative",AND(TEST!E19="o",TEST!H19="b"),"positive",AND(TEST!E19="o",TEST!H19="o"),"negative")</f>
        <v>positive</v>
      </c>
      <c r="B250" s="12" t="str">
        <f>TEST!J19</f>
        <v>positive</v>
      </c>
    </row>
    <row r="251" spans="1:8" x14ac:dyDescent="0.3">
      <c r="A251" s="12" t="str" cm="1">
        <f t="array" ref="A251">_xlfn.IFS(AND(TEST!E20="x",TEST!A20="x",TEST!I20="x"),"positive",AND(TEST!E20="x",TEST!A20="x",TEST!I20="b"),"positive",AND(TEST!E20="x",TEST!A20="x",TEST!I20="o"),"positive",AND(TEST!E20="x",TEST!A20="b",TEST!B20="x"),"positive",AND(TEST!E20="x",TEST!A20="b",TEST!B20="b"),"positive",AND(TEST!E20="x",TEST!A20="b",TEST!B20="o"),"positive",AND(TEST!E20="x",TEST!A20="o",TEST!G20="x"),"positive",AND(TEST!E20="x",TEST!A20="o",TEST!G20="b"),"positive",AND(TEST!E20="x",TEST!A20="o",TEST!G20="o"),"positive",AND(TEST!E20="b",TEST!C20="x",TEST!F20="x"),"positive",AND(TEST!E20="b",TEST!C20="x",TEST!F20="b"),"positive",AND(TEST!E20="b",TEST!C20="x",TEST!F20="o"),"positive",AND(TEST!E20="b",TEST!C20="b"),"positive",AND(TEST!E20="b",TEST!C20="o"),"positive",AND(TEST!E20="o",TEST!H20="x"),"negative",AND(TEST!E20="o",TEST!H20="b"),"positive",AND(TEST!E20="o",TEST!H20="o"),"negative")</f>
        <v>negative</v>
      </c>
      <c r="B251" s="12" t="str">
        <f>TEST!J20</f>
        <v>positive</v>
      </c>
    </row>
    <row r="252" spans="1:8" x14ac:dyDescent="0.3">
      <c r="A252" s="12" t="str" cm="1">
        <f t="array" ref="A252">_xlfn.IFS(AND(TEST!E21="x",TEST!A21="x",TEST!I21="x"),"positive",AND(TEST!E21="x",TEST!A21="x",TEST!I21="b"),"positive",AND(TEST!E21="x",TEST!A21="x",TEST!I21="o"),"positive",AND(TEST!E21="x",TEST!A21="b",TEST!B21="x"),"positive",AND(TEST!E21="x",TEST!A21="b",TEST!B21="b"),"positive",AND(TEST!E21="x",TEST!A21="b",TEST!B21="o"),"positive",AND(TEST!E21="x",TEST!A21="o",TEST!G21="x"),"positive",AND(TEST!E21="x",TEST!A21="o",TEST!G21="b"),"positive",AND(TEST!E21="x",TEST!A21="o",TEST!G21="o"),"positive",AND(TEST!E21="b",TEST!C21="x",TEST!F21="x"),"positive",AND(TEST!E21="b",TEST!C21="x",TEST!F21="b"),"positive",AND(TEST!E21="b",TEST!C21="x",TEST!F21="o"),"positive",AND(TEST!E21="b",TEST!C21="b"),"positive",AND(TEST!E21="b",TEST!C21="o"),"positive",AND(TEST!E21="o",TEST!H21="x"),"negative",AND(TEST!E21="o",TEST!H21="b"),"positive",AND(TEST!E21="o",TEST!H21="o"),"negative")</f>
        <v>positive</v>
      </c>
      <c r="B252" s="12" t="str">
        <f>TEST!J21</f>
        <v>positive</v>
      </c>
    </row>
    <row r="253" spans="1:8" x14ac:dyDescent="0.3">
      <c r="A253" s="12" t="str" cm="1">
        <f t="array" ref="A253">_xlfn.IFS(AND(TEST!E22="x",TEST!A22="x",TEST!I22="x"),"positive",AND(TEST!E22="x",TEST!A22="x",TEST!I22="b"),"positive",AND(TEST!E22="x",TEST!A22="x",TEST!I22="o"),"positive",AND(TEST!E22="x",TEST!A22="b",TEST!B22="x"),"positive",AND(TEST!E22="x",TEST!A22="b",TEST!B22="b"),"positive",AND(TEST!E22="x",TEST!A22="b",TEST!B22="o"),"positive",AND(TEST!E22="x",TEST!A22="o",TEST!G22="x"),"positive",AND(TEST!E22="x",TEST!A22="o",TEST!G22="b"),"positive",AND(TEST!E22="x",TEST!A22="o",TEST!G22="o"),"positive",AND(TEST!E22="b",TEST!C22="x",TEST!F22="x"),"positive",AND(TEST!E22="b",TEST!C22="x",TEST!F22="b"),"positive",AND(TEST!E22="b",TEST!C22="x",TEST!F22="o"),"positive",AND(TEST!E22="b",TEST!C22="b"),"positive",AND(TEST!E22="b",TEST!C22="o"),"positive",AND(TEST!E22="o",TEST!H22="x"),"negative",AND(TEST!E22="o",TEST!H22="b"),"positive",AND(TEST!E22="o",TEST!H22="o"),"negative")</f>
        <v>negative</v>
      </c>
      <c r="B253" s="12" t="str">
        <f>TEST!J22</f>
        <v>positive</v>
      </c>
    </row>
    <row r="254" spans="1:8" x14ac:dyDescent="0.3">
      <c r="A254" s="12" t="str" cm="1">
        <f t="array" ref="A254">_xlfn.IFS(AND(TEST!E23="x",TEST!A23="x",TEST!I23="x"),"positive",AND(TEST!E23="x",TEST!A23="x",TEST!I23="b"),"positive",AND(TEST!E23="x",TEST!A23="x",TEST!I23="o"),"positive",AND(TEST!E23="x",TEST!A23="b",TEST!B23="x"),"positive",AND(TEST!E23="x",TEST!A23="b",TEST!B23="b"),"positive",AND(TEST!E23="x",TEST!A23="b",TEST!B23="o"),"positive",AND(TEST!E23="x",TEST!A23="o",TEST!G23="x"),"positive",AND(TEST!E23="x",TEST!A23="o",TEST!G23="b"),"positive",AND(TEST!E23="x",TEST!A23="o",TEST!G23="o"),"positive",AND(TEST!E23="b",TEST!C23="x",TEST!F23="x"),"positive",AND(TEST!E23="b",TEST!C23="x",TEST!F23="b"),"positive",AND(TEST!E23="b",TEST!C23="x",TEST!F23="o"),"positive",AND(TEST!E23="b",TEST!C23="b"),"positive",AND(TEST!E23="b",TEST!C23="o"),"positive",AND(TEST!E23="o",TEST!H23="x"),"negative",AND(TEST!E23="o",TEST!H23="b"),"positive",AND(TEST!E23="o",TEST!H23="o"),"negative")</f>
        <v>positive</v>
      </c>
      <c r="B254" s="12" t="str">
        <f>TEST!J23</f>
        <v>positive</v>
      </c>
    </row>
    <row r="255" spans="1:8" x14ac:dyDescent="0.3">
      <c r="A255" s="12" t="str" cm="1">
        <f t="array" ref="A255">_xlfn.IFS(AND(TEST!E24="x",TEST!A24="x",TEST!I24="x"),"positive",AND(TEST!E24="x",TEST!A24="x",TEST!I24="b"),"positive",AND(TEST!E24="x",TEST!A24="x",TEST!I24="o"),"positive",AND(TEST!E24="x",TEST!A24="b",TEST!B24="x"),"positive",AND(TEST!E24="x",TEST!A24="b",TEST!B24="b"),"positive",AND(TEST!E24="x",TEST!A24="b",TEST!B24="o"),"positive",AND(TEST!E24="x",TEST!A24="o",TEST!G24="x"),"positive",AND(TEST!E24="x",TEST!A24="o",TEST!G24="b"),"positive",AND(TEST!E24="x",TEST!A24="o",TEST!G24="o"),"positive",AND(TEST!E24="b",TEST!C24="x",TEST!F24="x"),"positive",AND(TEST!E24="b",TEST!C24="x",TEST!F24="b"),"positive",AND(TEST!E24="b",TEST!C24="x",TEST!F24="o"),"positive",AND(TEST!E24="b",TEST!C24="b"),"positive",AND(TEST!E24="b",TEST!C24="o"),"positive",AND(TEST!E24="o",TEST!H24="x"),"negative",AND(TEST!E24="o",TEST!H24="b"),"positive",AND(TEST!E24="o",TEST!H24="o"),"negative")</f>
        <v>negative</v>
      </c>
      <c r="B255" s="12" t="str">
        <f>TEST!J24</f>
        <v>positive</v>
      </c>
    </row>
    <row r="256" spans="1:8" x14ac:dyDescent="0.3">
      <c r="A256" s="12" t="str" cm="1">
        <f t="array" ref="A256">_xlfn.IFS(AND(TEST!E25="x",TEST!A25="x",TEST!I25="x"),"positive",AND(TEST!E25="x",TEST!A25="x",TEST!I25="b"),"positive",AND(TEST!E25="x",TEST!A25="x",TEST!I25="o"),"positive",AND(TEST!E25="x",TEST!A25="b",TEST!B25="x"),"positive",AND(TEST!E25="x",TEST!A25="b",TEST!B25="b"),"positive",AND(TEST!E25="x",TEST!A25="b",TEST!B25="o"),"positive",AND(TEST!E25="x",TEST!A25="o",TEST!G25="x"),"positive",AND(TEST!E25="x",TEST!A25="o",TEST!G25="b"),"positive",AND(TEST!E25="x",TEST!A25="o",TEST!G25="o"),"positive",AND(TEST!E25="b",TEST!C25="x",TEST!F25="x"),"positive",AND(TEST!E25="b",TEST!C25="x",TEST!F25="b"),"positive",AND(TEST!E25="b",TEST!C25="x",TEST!F25="o"),"positive",AND(TEST!E25="b",TEST!C25="b"),"positive",AND(TEST!E25="b",TEST!C25="o"),"positive",AND(TEST!E25="o",TEST!H25="x"),"negative",AND(TEST!E25="o",TEST!H25="b"),"positive",AND(TEST!E25="o",TEST!H25="o"),"negative")</f>
        <v>positive</v>
      </c>
      <c r="B256" s="12" t="str">
        <f>TEST!J25</f>
        <v>positive</v>
      </c>
    </row>
    <row r="257" spans="1:2" x14ac:dyDescent="0.3">
      <c r="A257" s="12" t="str" cm="1">
        <f t="array" ref="A257">_xlfn.IFS(AND(TEST!E26="x",TEST!A26="x",TEST!I26="x"),"positive",AND(TEST!E26="x",TEST!A26="x",TEST!I26="b"),"positive",AND(TEST!E26="x",TEST!A26="x",TEST!I26="o"),"positive",AND(TEST!E26="x",TEST!A26="b",TEST!B26="x"),"positive",AND(TEST!E26="x",TEST!A26="b",TEST!B26="b"),"positive",AND(TEST!E26="x",TEST!A26="b",TEST!B26="o"),"positive",AND(TEST!E26="x",TEST!A26="o",TEST!G26="x"),"positive",AND(TEST!E26="x",TEST!A26="o",TEST!G26="b"),"positive",AND(TEST!E26="x",TEST!A26="o",TEST!G26="o"),"positive",AND(TEST!E26="b",TEST!C26="x",TEST!F26="x"),"positive",AND(TEST!E26="b",TEST!C26="x",TEST!F26="b"),"positive",AND(TEST!E26="b",TEST!C26="x",TEST!F26="o"),"positive",AND(TEST!E26="b",TEST!C26="b"),"positive",AND(TEST!E26="b",TEST!C26="o"),"positive",AND(TEST!E26="o",TEST!H26="x"),"negative",AND(TEST!E26="o",TEST!H26="b"),"positive",AND(TEST!E26="o",TEST!H26="o"),"negative")</f>
        <v>positive</v>
      </c>
      <c r="B257" s="12" t="str">
        <f>TEST!J26</f>
        <v>positive</v>
      </c>
    </row>
    <row r="258" spans="1:2" x14ac:dyDescent="0.3">
      <c r="A258" s="12" t="str" cm="1">
        <f t="array" ref="A258">_xlfn.IFS(AND(TEST!E27="x",TEST!A27="x",TEST!I27="x"),"positive",AND(TEST!E27="x",TEST!A27="x",TEST!I27="b"),"positive",AND(TEST!E27="x",TEST!A27="x",TEST!I27="o"),"positive",AND(TEST!E27="x",TEST!A27="b",TEST!B27="x"),"positive",AND(TEST!E27="x",TEST!A27="b",TEST!B27="b"),"positive",AND(TEST!E27="x",TEST!A27="b",TEST!B27="o"),"positive",AND(TEST!E27="x",TEST!A27="o",TEST!G27="x"),"positive",AND(TEST!E27="x",TEST!A27="o",TEST!G27="b"),"positive",AND(TEST!E27="x",TEST!A27="o",TEST!G27="o"),"positive",AND(TEST!E27="b",TEST!C27="x",TEST!F27="x"),"positive",AND(TEST!E27="b",TEST!C27="x",TEST!F27="b"),"positive",AND(TEST!E27="b",TEST!C27="x",TEST!F27="o"),"positive",AND(TEST!E27="b",TEST!C27="b"),"positive",AND(TEST!E27="b",TEST!C27="o"),"positive",AND(TEST!E27="o",TEST!H27="x"),"negative",AND(TEST!E27="o",TEST!H27="b"),"positive",AND(TEST!E27="o",TEST!H27="o"),"negative")</f>
        <v>positive</v>
      </c>
      <c r="B258" s="12" t="str">
        <f>TEST!J27</f>
        <v>positive</v>
      </c>
    </row>
    <row r="259" spans="1:2" x14ac:dyDescent="0.3">
      <c r="A259" s="12" t="str" cm="1">
        <f t="array" ref="A259">_xlfn.IFS(AND(TEST!E28="x",TEST!A28="x",TEST!I28="x"),"positive",AND(TEST!E28="x",TEST!A28="x",TEST!I28="b"),"positive",AND(TEST!E28="x",TEST!A28="x",TEST!I28="o"),"positive",AND(TEST!E28="x",TEST!A28="b",TEST!B28="x"),"positive",AND(TEST!E28="x",TEST!A28="b",TEST!B28="b"),"positive",AND(TEST!E28="x",TEST!A28="b",TEST!B28="o"),"positive",AND(TEST!E28="x",TEST!A28="o",TEST!G28="x"),"positive",AND(TEST!E28="x",TEST!A28="o",TEST!G28="b"),"positive",AND(TEST!E28="x",TEST!A28="o",TEST!G28="o"),"positive",AND(TEST!E28="b",TEST!C28="x",TEST!F28="x"),"positive",AND(TEST!E28="b",TEST!C28="x",TEST!F28="b"),"positive",AND(TEST!E28="b",TEST!C28="x",TEST!F28="o"),"positive",AND(TEST!E28="b",TEST!C28="b"),"positive",AND(TEST!E28="b",TEST!C28="o"),"positive",AND(TEST!E28="o",TEST!H28="x"),"negative",AND(TEST!E28="o",TEST!H28="b"),"positive",AND(TEST!E28="o",TEST!H28="o"),"negative")</f>
        <v>positive</v>
      </c>
      <c r="B259" s="12" t="str">
        <f>TEST!J28</f>
        <v>positive</v>
      </c>
    </row>
    <row r="260" spans="1:2" x14ac:dyDescent="0.3">
      <c r="A260" s="12" t="str" cm="1">
        <f t="array" ref="A260">_xlfn.IFS(AND(TEST!E29="x",TEST!A29="x",TEST!I29="x"),"positive",AND(TEST!E29="x",TEST!A29="x",TEST!I29="b"),"positive",AND(TEST!E29="x",TEST!A29="x",TEST!I29="o"),"positive",AND(TEST!E29="x",TEST!A29="b",TEST!B29="x"),"positive",AND(TEST!E29="x",TEST!A29="b",TEST!B29="b"),"positive",AND(TEST!E29="x",TEST!A29="b",TEST!B29="o"),"positive",AND(TEST!E29="x",TEST!A29="o",TEST!G29="x"),"positive",AND(TEST!E29="x",TEST!A29="o",TEST!G29="b"),"positive",AND(TEST!E29="x",TEST!A29="o",TEST!G29="o"),"positive",AND(TEST!E29="b",TEST!C29="x",TEST!F29="x"),"positive",AND(TEST!E29="b",TEST!C29="x",TEST!F29="b"),"positive",AND(TEST!E29="b",TEST!C29="x",TEST!F29="o"),"positive",AND(TEST!E29="b",TEST!C29="b"),"positive",AND(TEST!E29="b",TEST!C29="o"),"positive",AND(TEST!E29="o",TEST!H29="x"),"negative",AND(TEST!E29="o",TEST!H29="b"),"positive",AND(TEST!E29="o",TEST!H29="o"),"negative")</f>
        <v>negative</v>
      </c>
      <c r="B260" s="12" t="str">
        <f>TEST!J29</f>
        <v>positive</v>
      </c>
    </row>
    <row r="261" spans="1:2" x14ac:dyDescent="0.3">
      <c r="A261" s="12" t="str" cm="1">
        <f t="array" ref="A261">_xlfn.IFS(AND(TEST!E30="x",TEST!A30="x",TEST!I30="x"),"positive",AND(TEST!E30="x",TEST!A30="x",TEST!I30="b"),"positive",AND(TEST!E30="x",TEST!A30="x",TEST!I30="o"),"positive",AND(TEST!E30="x",TEST!A30="b",TEST!B30="x"),"positive",AND(TEST!E30="x",TEST!A30="b",TEST!B30="b"),"positive",AND(TEST!E30="x",TEST!A30="b",TEST!B30="o"),"positive",AND(TEST!E30="x",TEST!A30="o",TEST!G30="x"),"positive",AND(TEST!E30="x",TEST!A30="o",TEST!G30="b"),"positive",AND(TEST!E30="x",TEST!A30="o",TEST!G30="o"),"positive",AND(TEST!E30="b",TEST!C30="x",TEST!F30="x"),"positive",AND(TEST!E30="b",TEST!C30="x",TEST!F30="b"),"positive",AND(TEST!E30="b",TEST!C30="x",TEST!F30="o"),"positive",AND(TEST!E30="b",TEST!C30="b"),"positive",AND(TEST!E30="b",TEST!C30="o"),"positive",AND(TEST!E30="o",TEST!H30="x"),"negative",AND(TEST!E30="o",TEST!H30="b"),"positive",AND(TEST!E30="o",TEST!H30="o"),"negative")</f>
        <v>positive</v>
      </c>
      <c r="B261" s="12" t="str">
        <f>TEST!J30</f>
        <v>positive</v>
      </c>
    </row>
    <row r="262" spans="1:2" x14ac:dyDescent="0.3">
      <c r="A262" s="12" t="str" cm="1">
        <f t="array" ref="A262">_xlfn.IFS(AND(TEST!E31="x",TEST!A31="x",TEST!I31="x"),"positive",AND(TEST!E31="x",TEST!A31="x",TEST!I31="b"),"positive",AND(TEST!E31="x",TEST!A31="x",TEST!I31="o"),"positive",AND(TEST!E31="x",TEST!A31="b",TEST!B31="x"),"positive",AND(TEST!E31="x",TEST!A31="b",TEST!B31="b"),"positive",AND(TEST!E31="x",TEST!A31="b",TEST!B31="o"),"positive",AND(TEST!E31="x",TEST!A31="o",TEST!G31="x"),"positive",AND(TEST!E31="x",TEST!A31="o",TEST!G31="b"),"positive",AND(TEST!E31="x",TEST!A31="o",TEST!G31="o"),"positive",AND(TEST!E31="b",TEST!C31="x",TEST!F31="x"),"positive",AND(TEST!E31="b",TEST!C31="x",TEST!F31="b"),"positive",AND(TEST!E31="b",TEST!C31="x",TEST!F31="o"),"positive",AND(TEST!E31="b",TEST!C31="b"),"positive",AND(TEST!E31="b",TEST!C31="o"),"positive",AND(TEST!E31="o",TEST!H31="x"),"negative",AND(TEST!E31="o",TEST!H31="b"),"positive",AND(TEST!E31="o",TEST!H31="o"),"negative")</f>
        <v>negative</v>
      </c>
      <c r="B262" s="12" t="str">
        <f>TEST!J31</f>
        <v>positive</v>
      </c>
    </row>
    <row r="263" spans="1:2" x14ac:dyDescent="0.3">
      <c r="A263" s="12" t="str" cm="1">
        <f t="array" ref="A263">_xlfn.IFS(AND(TEST!E32="x",TEST!A32="x",TEST!I32="x"),"positive",AND(TEST!E32="x",TEST!A32="x",TEST!I32="b"),"positive",AND(TEST!E32="x",TEST!A32="x",TEST!I32="o"),"positive",AND(TEST!E32="x",TEST!A32="b",TEST!B32="x"),"positive",AND(TEST!E32="x",TEST!A32="b",TEST!B32="b"),"positive",AND(TEST!E32="x",TEST!A32="b",TEST!B32="o"),"positive",AND(TEST!E32="x",TEST!A32="o",TEST!G32="x"),"positive",AND(TEST!E32="x",TEST!A32="o",TEST!G32="b"),"positive",AND(TEST!E32="x",TEST!A32="o",TEST!G32="o"),"positive",AND(TEST!E32="b",TEST!C32="x",TEST!F32="x"),"positive",AND(TEST!E32="b",TEST!C32="x",TEST!F32="b"),"positive",AND(TEST!E32="b",TEST!C32="x",TEST!F32="o"),"positive",AND(TEST!E32="b",TEST!C32="b"),"positive",AND(TEST!E32="b",TEST!C32="o"),"positive",AND(TEST!E32="o",TEST!H32="x"),"negative",AND(TEST!E32="o",TEST!H32="b"),"positive",AND(TEST!E32="o",TEST!H32="o"),"negative")</f>
        <v>positive</v>
      </c>
      <c r="B263" s="12" t="str">
        <f>TEST!J32</f>
        <v>negative</v>
      </c>
    </row>
    <row r="264" spans="1:2" x14ac:dyDescent="0.3">
      <c r="A264" s="12" t="str" cm="1">
        <f t="array" ref="A264">_xlfn.IFS(AND(TEST!E33="x",TEST!A33="x",TEST!I33="x"),"positive",AND(TEST!E33="x",TEST!A33="x",TEST!I33="b"),"positive",AND(TEST!E33="x",TEST!A33="x",TEST!I33="o"),"positive",AND(TEST!E33="x",TEST!A33="b",TEST!B33="x"),"positive",AND(TEST!E33="x",TEST!A33="b",TEST!B33="b"),"positive",AND(TEST!E33="x",TEST!A33="b",TEST!B33="o"),"positive",AND(TEST!E33="x",TEST!A33="o",TEST!G33="x"),"positive",AND(TEST!E33="x",TEST!A33="o",TEST!G33="b"),"positive",AND(TEST!E33="x",TEST!A33="o",TEST!G33="o"),"positive",AND(TEST!E33="b",TEST!C33="x",TEST!F33="x"),"positive",AND(TEST!E33="b",TEST!C33="x",TEST!F33="b"),"positive",AND(TEST!E33="b",TEST!C33="x",TEST!F33="o"),"positive",AND(TEST!E33="b",TEST!C33="b"),"positive",AND(TEST!E33="b",TEST!C33="o"),"positive",AND(TEST!E33="o",TEST!H33="x"),"negative",AND(TEST!E33="o",TEST!H33="b"),"positive",AND(TEST!E33="o",TEST!H33="o"),"negative")</f>
        <v>positive</v>
      </c>
      <c r="B264" s="12" t="str">
        <f>TEST!J33</f>
        <v>negative</v>
      </c>
    </row>
    <row r="265" spans="1:2" x14ac:dyDescent="0.3">
      <c r="A265" s="12" t="str" cm="1">
        <f t="array" ref="A265">_xlfn.IFS(AND(TEST!E34="x",TEST!A34="x",TEST!I34="x"),"positive",AND(TEST!E34="x",TEST!A34="x",TEST!I34="b"),"positive",AND(TEST!E34="x",TEST!A34="x",TEST!I34="o"),"positive",AND(TEST!E34="x",TEST!A34="b",TEST!B34="x"),"positive",AND(TEST!E34="x",TEST!A34="b",TEST!B34="b"),"positive",AND(TEST!E34="x",TEST!A34="b",TEST!B34="o"),"positive",AND(TEST!E34="x",TEST!A34="o",TEST!G34="x"),"positive",AND(TEST!E34="x",TEST!A34="o",TEST!G34="b"),"positive",AND(TEST!E34="x",TEST!A34="o",TEST!G34="o"),"positive",AND(TEST!E34="b",TEST!C34="x",TEST!F34="x"),"positive",AND(TEST!E34="b",TEST!C34="x",TEST!F34="b"),"positive",AND(TEST!E34="b",TEST!C34="x",TEST!F34="o"),"positive",AND(TEST!E34="b",TEST!C34="b"),"positive",AND(TEST!E34="b",TEST!C34="o"),"positive",AND(TEST!E34="o",TEST!H34="x"),"negative",AND(TEST!E34="o",TEST!H34="b"),"positive",AND(TEST!E34="o",TEST!H34="o"),"negative")</f>
        <v>positive</v>
      </c>
      <c r="B265" s="12" t="str">
        <f>TEST!J34</f>
        <v>negative</v>
      </c>
    </row>
    <row r="266" spans="1:2" x14ac:dyDescent="0.3">
      <c r="A266" s="12" t="str" cm="1">
        <f t="array" ref="A266">_xlfn.IFS(AND(TEST!E35="x",TEST!A35="x",TEST!I35="x"),"positive",AND(TEST!E35="x",TEST!A35="x",TEST!I35="b"),"positive",AND(TEST!E35="x",TEST!A35="x",TEST!I35="o"),"positive",AND(TEST!E35="x",TEST!A35="b",TEST!B35="x"),"positive",AND(TEST!E35="x",TEST!A35="b",TEST!B35="b"),"positive",AND(TEST!E35="x",TEST!A35="b",TEST!B35="o"),"positive",AND(TEST!E35="x",TEST!A35="o",TEST!G35="x"),"positive",AND(TEST!E35="x",TEST!A35="o",TEST!G35="b"),"positive",AND(TEST!E35="x",TEST!A35="o",TEST!G35="o"),"positive",AND(TEST!E35="b",TEST!C35="x",TEST!F35="x"),"positive",AND(TEST!E35="b",TEST!C35="x",TEST!F35="b"),"positive",AND(TEST!E35="b",TEST!C35="x",TEST!F35="o"),"positive",AND(TEST!E35="b",TEST!C35="b"),"positive",AND(TEST!E35="b",TEST!C35="o"),"positive",AND(TEST!E35="o",TEST!H35="x"),"negative",AND(TEST!E35="o",TEST!H35="b"),"positive",AND(TEST!E35="o",TEST!H35="o"),"negative")</f>
        <v>negative</v>
      </c>
      <c r="B266" s="12" t="str">
        <f>TEST!J35</f>
        <v>negative</v>
      </c>
    </row>
    <row r="267" spans="1:2" x14ac:dyDescent="0.3">
      <c r="A267" s="12" t="str" cm="1">
        <f t="array" ref="A267">_xlfn.IFS(AND(TEST!E36="x",TEST!A36="x",TEST!I36="x"),"positive",AND(TEST!E36="x",TEST!A36="x",TEST!I36="b"),"positive",AND(TEST!E36="x",TEST!A36="x",TEST!I36="o"),"positive",AND(TEST!E36="x",TEST!A36="b",TEST!B36="x"),"positive",AND(TEST!E36="x",TEST!A36="b",TEST!B36="b"),"positive",AND(TEST!E36="x",TEST!A36="b",TEST!B36="o"),"positive",AND(TEST!E36="x",TEST!A36="o",TEST!G36="x"),"positive",AND(TEST!E36="x",TEST!A36="o",TEST!G36="b"),"positive",AND(TEST!E36="x",TEST!A36="o",TEST!G36="o"),"positive",AND(TEST!E36="b",TEST!C36="x",TEST!F36="x"),"positive",AND(TEST!E36="b",TEST!C36="x",TEST!F36="b"),"positive",AND(TEST!E36="b",TEST!C36="x",TEST!F36="o"),"positive",AND(TEST!E36="b",TEST!C36="b"),"positive",AND(TEST!E36="b",TEST!C36="o"),"positive",AND(TEST!E36="o",TEST!H36="x"),"negative",AND(TEST!E36="o",TEST!H36="b"),"positive",AND(TEST!E36="o",TEST!H36="o"),"negative")</f>
        <v>positive</v>
      </c>
      <c r="B267" s="12" t="str">
        <f>TEST!J36</f>
        <v>negative</v>
      </c>
    </row>
    <row r="268" spans="1:2" x14ac:dyDescent="0.3">
      <c r="A268" s="12" t="str" cm="1">
        <f t="array" ref="A268">_xlfn.IFS(AND(TEST!E37="x",TEST!A37="x",TEST!I37="x"),"positive",AND(TEST!E37="x",TEST!A37="x",TEST!I37="b"),"positive",AND(TEST!E37="x",TEST!A37="x",TEST!I37="o"),"positive",AND(TEST!E37="x",TEST!A37="b",TEST!B37="x"),"positive",AND(TEST!E37="x",TEST!A37="b",TEST!B37="b"),"positive",AND(TEST!E37="x",TEST!A37="b",TEST!B37="o"),"positive",AND(TEST!E37="x",TEST!A37="o",TEST!G37="x"),"positive",AND(TEST!E37="x",TEST!A37="o",TEST!G37="b"),"positive",AND(TEST!E37="x",TEST!A37="o",TEST!G37="o"),"positive",AND(TEST!E37="b",TEST!C37="x",TEST!F37="x"),"positive",AND(TEST!E37="b",TEST!C37="x",TEST!F37="b"),"positive",AND(TEST!E37="b",TEST!C37="x",TEST!F37="o"),"positive",AND(TEST!E37="b",TEST!C37="b"),"positive",AND(TEST!E37="b",TEST!C37="o"),"positive",AND(TEST!E37="o",TEST!H37="x"),"negative",AND(TEST!E37="o",TEST!H37="b"),"positive",AND(TEST!E37="o",TEST!H37="o"),"negative")</f>
        <v>negative</v>
      </c>
      <c r="B268" s="12" t="str">
        <f>TEST!J37</f>
        <v>negative</v>
      </c>
    </row>
    <row r="269" spans="1:2" x14ac:dyDescent="0.3">
      <c r="A269" s="12" t="str" cm="1">
        <f t="array" ref="A269">_xlfn.IFS(AND(TEST!E38="x",TEST!A38="x",TEST!I38="x"),"positive",AND(TEST!E38="x",TEST!A38="x",TEST!I38="b"),"positive",AND(TEST!E38="x",TEST!A38="x",TEST!I38="o"),"positive",AND(TEST!E38="x",TEST!A38="b",TEST!B38="x"),"positive",AND(TEST!E38="x",TEST!A38="b",TEST!B38="b"),"positive",AND(TEST!E38="x",TEST!A38="b",TEST!B38="o"),"positive",AND(TEST!E38="x",TEST!A38="o",TEST!G38="x"),"positive",AND(TEST!E38="x",TEST!A38="o",TEST!G38="b"),"positive",AND(TEST!E38="x",TEST!A38="o",TEST!G38="o"),"positive",AND(TEST!E38="b",TEST!C38="x",TEST!F38="x"),"positive",AND(TEST!E38="b",TEST!C38="x",TEST!F38="b"),"positive",AND(TEST!E38="b",TEST!C38="x",TEST!F38="o"),"positive",AND(TEST!E38="b",TEST!C38="b"),"positive",AND(TEST!E38="b",TEST!C38="o"),"positive",AND(TEST!E38="o",TEST!H38="x"),"negative",AND(TEST!E38="o",TEST!H38="b"),"positive",AND(TEST!E38="o",TEST!H38="o"),"negative")</f>
        <v>positive</v>
      </c>
      <c r="B269" s="12" t="str">
        <f>TEST!J38</f>
        <v>negative</v>
      </c>
    </row>
    <row r="270" spans="1:2" x14ac:dyDescent="0.3">
      <c r="A270" s="12" t="str" cm="1">
        <f t="array" ref="A270">_xlfn.IFS(AND(TEST!E39="x",TEST!A39="x",TEST!I39="x"),"positive",AND(TEST!E39="x",TEST!A39="x",TEST!I39="b"),"positive",AND(TEST!E39="x",TEST!A39="x",TEST!I39="o"),"positive",AND(TEST!E39="x",TEST!A39="b",TEST!B39="x"),"positive",AND(TEST!E39="x",TEST!A39="b",TEST!B39="b"),"positive",AND(TEST!E39="x",TEST!A39="b",TEST!B39="o"),"positive",AND(TEST!E39="x",TEST!A39="o",TEST!G39="x"),"positive",AND(TEST!E39="x",TEST!A39="o",TEST!G39="b"),"positive",AND(TEST!E39="x",TEST!A39="o",TEST!G39="o"),"positive",AND(TEST!E39="b",TEST!C39="x",TEST!F39="x"),"positive",AND(TEST!E39="b",TEST!C39="x",TEST!F39="b"),"positive",AND(TEST!E39="b",TEST!C39="x",TEST!F39="o"),"positive",AND(TEST!E39="b",TEST!C39="b"),"positive",AND(TEST!E39="b",TEST!C39="o"),"positive",AND(TEST!E39="o",TEST!H39="x"),"negative",AND(TEST!E39="o",TEST!H39="b"),"positive",AND(TEST!E39="o",TEST!H39="o"),"negative")</f>
        <v>negative</v>
      </c>
      <c r="B270" s="12" t="str">
        <f>TEST!J39</f>
        <v>negative</v>
      </c>
    </row>
    <row r="271" spans="1:2" x14ac:dyDescent="0.3">
      <c r="A271" s="12" t="str" cm="1">
        <f t="array" ref="A271">_xlfn.IFS(AND(TEST!E40="x",TEST!A40="x",TEST!I40="x"),"positive",AND(TEST!E40="x",TEST!A40="x",TEST!I40="b"),"positive",AND(TEST!E40="x",TEST!A40="x",TEST!I40="o"),"positive",AND(TEST!E40="x",TEST!A40="b",TEST!B40="x"),"positive",AND(TEST!E40="x",TEST!A40="b",TEST!B40="b"),"positive",AND(TEST!E40="x",TEST!A40="b",TEST!B40="o"),"positive",AND(TEST!E40="x",TEST!A40="o",TEST!G40="x"),"positive",AND(TEST!E40="x",TEST!A40="o",TEST!G40="b"),"positive",AND(TEST!E40="x",TEST!A40="o",TEST!G40="o"),"positive",AND(TEST!E40="b",TEST!C40="x",TEST!F40="x"),"positive",AND(TEST!E40="b",TEST!C40="x",TEST!F40="b"),"positive",AND(TEST!E40="b",TEST!C40="x",TEST!F40="o"),"positive",AND(TEST!E40="b",TEST!C40="b"),"positive",AND(TEST!E40="b",TEST!C40="o"),"positive",AND(TEST!E40="o",TEST!H40="x"),"negative",AND(TEST!E40="o",TEST!H40="b"),"positive",AND(TEST!E40="o",TEST!H40="o"),"negative")</f>
        <v>negative</v>
      </c>
      <c r="B271" s="12" t="str">
        <f>TEST!J40</f>
        <v>negative</v>
      </c>
    </row>
    <row r="272" spans="1:2" x14ac:dyDescent="0.3">
      <c r="A272" s="12" t="str" cm="1">
        <f t="array" ref="A272">_xlfn.IFS(AND(TEST!E41="x",TEST!A41="x",TEST!I41="x"),"positive",AND(TEST!E41="x",TEST!A41="x",TEST!I41="b"),"positive",AND(TEST!E41="x",TEST!A41="x",TEST!I41="o"),"positive",AND(TEST!E41="x",TEST!A41="b",TEST!B41="x"),"positive",AND(TEST!E41="x",TEST!A41="b",TEST!B41="b"),"positive",AND(TEST!E41="x",TEST!A41="b",TEST!B41="o"),"positive",AND(TEST!E41="x",TEST!A41="o",TEST!G41="x"),"positive",AND(TEST!E41="x",TEST!A41="o",TEST!G41="b"),"positive",AND(TEST!E41="x",TEST!A41="o",TEST!G41="o"),"positive",AND(TEST!E41="b",TEST!C41="x",TEST!F41="x"),"positive",AND(TEST!E41="b",TEST!C41="x",TEST!F41="b"),"positive",AND(TEST!E41="b",TEST!C41="x",TEST!F41="o"),"positive",AND(TEST!E41="b",TEST!C41="b"),"positive",AND(TEST!E41="b",TEST!C41="o"),"positive",AND(TEST!E41="o",TEST!H41="x"),"negative",AND(TEST!E41="o",TEST!H41="b"),"positive",AND(TEST!E41="o",TEST!H41="o"),"negative")</f>
        <v>negative</v>
      </c>
      <c r="B272" s="12" t="str">
        <f>TEST!J41</f>
        <v>negative</v>
      </c>
    </row>
    <row r="273" spans="1:2" x14ac:dyDescent="0.3">
      <c r="A273" s="12" t="str" cm="1">
        <f t="array" ref="A273">_xlfn.IFS(AND(TEST!E42="x",TEST!A42="x",TEST!I42="x"),"positive",AND(TEST!E42="x",TEST!A42="x",TEST!I42="b"),"positive",AND(TEST!E42="x",TEST!A42="x",TEST!I42="o"),"positive",AND(TEST!E42="x",TEST!A42="b",TEST!B42="x"),"positive",AND(TEST!E42="x",TEST!A42="b",TEST!B42="b"),"positive",AND(TEST!E42="x",TEST!A42="b",TEST!B42="o"),"positive",AND(TEST!E42="x",TEST!A42="o",TEST!G42="x"),"positive",AND(TEST!E42="x",TEST!A42="o",TEST!G42="b"),"positive",AND(TEST!E42="x",TEST!A42="o",TEST!G42="o"),"positive",AND(TEST!E42="b",TEST!C42="x",TEST!F42="x"),"positive",AND(TEST!E42="b",TEST!C42="x",TEST!F42="b"),"positive",AND(TEST!E42="b",TEST!C42="x",TEST!F42="o"),"positive",AND(TEST!E42="b",TEST!C42="b"),"positive",AND(TEST!E42="b",TEST!C42="o"),"positive",AND(TEST!E42="o",TEST!H42="x"),"negative",AND(TEST!E42="o",TEST!H42="b"),"positive",AND(TEST!E42="o",TEST!H42="o"),"negative")</f>
        <v>positive</v>
      </c>
      <c r="B273" s="12" t="str">
        <f>TEST!J42</f>
        <v>negative</v>
      </c>
    </row>
    <row r="274" spans="1:2" x14ac:dyDescent="0.3">
      <c r="A274" s="12" t="str" cm="1">
        <f t="array" ref="A274">_xlfn.IFS(AND(TEST!E43="x",TEST!A43="x",TEST!I43="x"),"positive",AND(TEST!E43="x",TEST!A43="x",TEST!I43="b"),"positive",AND(TEST!E43="x",TEST!A43="x",TEST!I43="o"),"positive",AND(TEST!E43="x",TEST!A43="b",TEST!B43="x"),"positive",AND(TEST!E43="x",TEST!A43="b",TEST!B43="b"),"positive",AND(TEST!E43="x",TEST!A43="b",TEST!B43="o"),"positive",AND(TEST!E43="x",TEST!A43="o",TEST!G43="x"),"positive",AND(TEST!E43="x",TEST!A43="o",TEST!G43="b"),"positive",AND(TEST!E43="x",TEST!A43="o",TEST!G43="o"),"positive",AND(TEST!E43="b",TEST!C43="x",TEST!F43="x"),"positive",AND(TEST!E43="b",TEST!C43="x",TEST!F43="b"),"positive",AND(TEST!E43="b",TEST!C43="x",TEST!F43="o"),"positive",AND(TEST!E43="b",TEST!C43="b"),"positive",AND(TEST!E43="b",TEST!C43="o"),"positive",AND(TEST!E43="o",TEST!H43="x"),"negative",AND(TEST!E43="o",TEST!H43="b"),"positive",AND(TEST!E43="o",TEST!H43="o"),"negative")</f>
        <v>positive</v>
      </c>
      <c r="B274" s="12" t="str">
        <f>TEST!J43</f>
        <v>negative</v>
      </c>
    </row>
    <row r="275" spans="1:2" x14ac:dyDescent="0.3">
      <c r="A275" s="12" t="str" cm="1">
        <f t="array" ref="A275">_xlfn.IFS(AND(TEST!E44="x",TEST!A44="x",TEST!I44="x"),"positive",AND(TEST!E44="x",TEST!A44="x",TEST!I44="b"),"positive",AND(TEST!E44="x",TEST!A44="x",TEST!I44="o"),"positive",AND(TEST!E44="x",TEST!A44="b",TEST!B44="x"),"positive",AND(TEST!E44="x",TEST!A44="b",TEST!B44="b"),"positive",AND(TEST!E44="x",TEST!A44="b",TEST!B44="o"),"positive",AND(TEST!E44="x",TEST!A44="o",TEST!G44="x"),"positive",AND(TEST!E44="x",TEST!A44="o",TEST!G44="b"),"positive",AND(TEST!E44="x",TEST!A44="o",TEST!G44="o"),"positive",AND(TEST!E44="b",TEST!C44="x",TEST!F44="x"),"positive",AND(TEST!E44="b",TEST!C44="x",TEST!F44="b"),"positive",AND(TEST!E44="b",TEST!C44="x",TEST!F44="o"),"positive",AND(TEST!E44="b",TEST!C44="b"),"positive",AND(TEST!E44="b",TEST!C44="o"),"positive",AND(TEST!E44="o",TEST!H44="x"),"negative",AND(TEST!E44="o",TEST!H44="b"),"positive",AND(TEST!E44="o",TEST!H44="o"),"negative")</f>
        <v>positive</v>
      </c>
      <c r="B275" s="12" t="str">
        <f>TEST!J44</f>
        <v>negative</v>
      </c>
    </row>
    <row r="276" spans="1:2" x14ac:dyDescent="0.3">
      <c r="A276" s="12" t="str" cm="1">
        <f t="array" ref="A276">_xlfn.IFS(AND(TEST!E45="x",TEST!A45="x",TEST!I45="x"),"positive",AND(TEST!E45="x",TEST!A45="x",TEST!I45="b"),"positive",AND(TEST!E45="x",TEST!A45="x",TEST!I45="o"),"positive",AND(TEST!E45="x",TEST!A45="b",TEST!B45="x"),"positive",AND(TEST!E45="x",TEST!A45="b",TEST!B45="b"),"positive",AND(TEST!E45="x",TEST!A45="b",TEST!B45="o"),"positive",AND(TEST!E45="x",TEST!A45="o",TEST!G45="x"),"positive",AND(TEST!E45="x",TEST!A45="o",TEST!G45="b"),"positive",AND(TEST!E45="x",TEST!A45="o",TEST!G45="o"),"positive",AND(TEST!E45="b",TEST!C45="x",TEST!F45="x"),"positive",AND(TEST!E45="b",TEST!C45="x",TEST!F45="b"),"positive",AND(TEST!E45="b",TEST!C45="x",TEST!F45="o"),"positive",AND(TEST!E45="b",TEST!C45="b"),"positive",AND(TEST!E45="b",TEST!C45="o"),"positive",AND(TEST!E45="o",TEST!H45="x"),"negative",AND(TEST!E45="o",TEST!H45="b"),"positive",AND(TEST!E45="o",TEST!H45="o"),"negative")</f>
        <v>positive</v>
      </c>
      <c r="B276" s="12" t="str">
        <f>TEST!J45</f>
        <v>negative</v>
      </c>
    </row>
    <row r="277" spans="1:2" x14ac:dyDescent="0.3">
      <c r="A277" s="12" t="str" cm="1">
        <f t="array" ref="A277">_xlfn.IFS(AND(TEST!E46="x",TEST!A46="x",TEST!I46="x"),"positive",AND(TEST!E46="x",TEST!A46="x",TEST!I46="b"),"positive",AND(TEST!E46="x",TEST!A46="x",TEST!I46="o"),"positive",AND(TEST!E46="x",TEST!A46="b",TEST!B46="x"),"positive",AND(TEST!E46="x",TEST!A46="b",TEST!B46="b"),"positive",AND(TEST!E46="x",TEST!A46="b",TEST!B46="o"),"positive",AND(TEST!E46="x",TEST!A46="o",TEST!G46="x"),"positive",AND(TEST!E46="x",TEST!A46="o",TEST!G46="b"),"positive",AND(TEST!E46="x",TEST!A46="o",TEST!G46="o"),"positive",AND(TEST!E46="b",TEST!C46="x",TEST!F46="x"),"positive",AND(TEST!E46="b",TEST!C46="x",TEST!F46="b"),"positive",AND(TEST!E46="b",TEST!C46="x",TEST!F46="o"),"positive",AND(TEST!E46="b",TEST!C46="b"),"positive",AND(TEST!E46="b",TEST!C46="o"),"positive",AND(TEST!E46="o",TEST!H46="x"),"negative",AND(TEST!E46="o",TEST!H46="b"),"positive",AND(TEST!E46="o",TEST!H46="o"),"negative")</f>
        <v>positive</v>
      </c>
      <c r="B277" s="12" t="str">
        <f>TEST!J46</f>
        <v>negative</v>
      </c>
    </row>
    <row r="278" spans="1:2" x14ac:dyDescent="0.3">
      <c r="A278" s="12" t="str" cm="1">
        <f t="array" ref="A278">_xlfn.IFS(AND(TEST!E47="x",TEST!A47="x",TEST!I47="x"),"positive",AND(TEST!E47="x",TEST!A47="x",TEST!I47="b"),"positive",AND(TEST!E47="x",TEST!A47="x",TEST!I47="o"),"positive",AND(TEST!E47="x",TEST!A47="b",TEST!B47="x"),"positive",AND(TEST!E47="x",TEST!A47="b",TEST!B47="b"),"positive",AND(TEST!E47="x",TEST!A47="b",TEST!B47="o"),"positive",AND(TEST!E47="x",TEST!A47="o",TEST!G47="x"),"positive",AND(TEST!E47="x",TEST!A47="o",TEST!G47="b"),"positive",AND(TEST!E47="x",TEST!A47="o",TEST!G47="o"),"positive",AND(TEST!E47="b",TEST!C47="x",TEST!F47="x"),"positive",AND(TEST!E47="b",TEST!C47="x",TEST!F47="b"),"positive",AND(TEST!E47="b",TEST!C47="x",TEST!F47="o"),"positive",AND(TEST!E47="b",TEST!C47="b"),"positive",AND(TEST!E47="b",TEST!C47="o"),"positive",AND(TEST!E47="o",TEST!H47="x"),"negative",AND(TEST!E47="o",TEST!H47="b"),"positive",AND(TEST!E47="o",TEST!H47="o"),"negative")</f>
        <v>negative</v>
      </c>
      <c r="B278" s="12" t="str">
        <f>TEST!J47</f>
        <v>negative</v>
      </c>
    </row>
    <row r="279" spans="1:2" x14ac:dyDescent="0.3">
      <c r="A279" s="12" t="str" cm="1">
        <f t="array" ref="A279">_xlfn.IFS(AND(TEST!E48="x",TEST!A48="x",TEST!I48="x"),"positive",AND(TEST!E48="x",TEST!A48="x",TEST!I48="b"),"positive",AND(TEST!E48="x",TEST!A48="x",TEST!I48="o"),"positive",AND(TEST!E48="x",TEST!A48="b",TEST!B48="x"),"positive",AND(TEST!E48="x",TEST!A48="b",TEST!B48="b"),"positive",AND(TEST!E48="x",TEST!A48="b",TEST!B48="o"),"positive",AND(TEST!E48="x",TEST!A48="o",TEST!G48="x"),"positive",AND(TEST!E48="x",TEST!A48="o",TEST!G48="b"),"positive",AND(TEST!E48="x",TEST!A48="o",TEST!G48="o"),"positive",AND(TEST!E48="b",TEST!C48="x",TEST!F48="x"),"positive",AND(TEST!E48="b",TEST!C48="x",TEST!F48="b"),"positive",AND(TEST!E48="b",TEST!C48="x",TEST!F48="o"),"positive",AND(TEST!E48="b",TEST!C48="b"),"positive",AND(TEST!E48="b",TEST!C48="o"),"positive",AND(TEST!E48="o",TEST!H48="x"),"negative",AND(TEST!E48="o",TEST!H48="b"),"positive",AND(TEST!E48="o",TEST!H48="o"),"negative")</f>
        <v>positive</v>
      </c>
      <c r="B279" s="12" t="str">
        <f>TEST!J48</f>
        <v>negative</v>
      </c>
    </row>
    <row r="280" spans="1:2" x14ac:dyDescent="0.3">
      <c r="A280" s="12" t="str" cm="1">
        <f t="array" ref="A280">_xlfn.IFS(AND(TEST!E49="x",TEST!A49="x",TEST!I49="x"),"positive",AND(TEST!E49="x",TEST!A49="x",TEST!I49="b"),"positive",AND(TEST!E49="x",TEST!A49="x",TEST!I49="o"),"positive",AND(TEST!E49="x",TEST!A49="b",TEST!B49="x"),"positive",AND(TEST!E49="x",TEST!A49="b",TEST!B49="b"),"positive",AND(TEST!E49="x",TEST!A49="b",TEST!B49="o"),"positive",AND(TEST!E49="x",TEST!A49="o",TEST!G49="x"),"positive",AND(TEST!E49="x",TEST!A49="o",TEST!G49="b"),"positive",AND(TEST!E49="x",TEST!A49="o",TEST!G49="o"),"positive",AND(TEST!E49="b",TEST!C49="x",TEST!F49="x"),"positive",AND(TEST!E49="b",TEST!C49="x",TEST!F49="b"),"positive",AND(TEST!E49="b",TEST!C49="x",TEST!F49="o"),"positive",AND(TEST!E49="b",TEST!C49="b"),"positive",AND(TEST!E49="b",TEST!C49="o"),"positive",AND(TEST!E49="o",TEST!H49="x"),"negative",AND(TEST!E49="o",TEST!H49="b"),"positive",AND(TEST!E49="o",TEST!H49="o"),"negative")</f>
        <v>negative</v>
      </c>
      <c r="B280" s="12" t="str">
        <f>TEST!J49</f>
        <v>negative</v>
      </c>
    </row>
    <row r="281" spans="1:2" x14ac:dyDescent="0.3">
      <c r="A281" s="12" t="str" cm="1">
        <f t="array" ref="A281">_xlfn.IFS(AND(TEST!E50="x",TEST!A50="x",TEST!I50="x"),"positive",AND(TEST!E50="x",TEST!A50="x",TEST!I50="b"),"positive",AND(TEST!E50="x",TEST!A50="x",TEST!I50="o"),"positive",AND(TEST!E50="x",TEST!A50="b",TEST!B50="x"),"positive",AND(TEST!E50="x",TEST!A50="b",TEST!B50="b"),"positive",AND(TEST!E50="x",TEST!A50="b",TEST!B50="o"),"positive",AND(TEST!E50="x",TEST!A50="o",TEST!G50="x"),"positive",AND(TEST!E50="x",TEST!A50="o",TEST!G50="b"),"positive",AND(TEST!E50="x",TEST!A50="o",TEST!G50="o"),"positive",AND(TEST!E50="b",TEST!C50="x",TEST!F50="x"),"positive",AND(TEST!E50="b",TEST!C50="x",TEST!F50="b"),"positive",AND(TEST!E50="b",TEST!C50="x",TEST!F50="o"),"positive",AND(TEST!E50="b",TEST!C50="b"),"positive",AND(TEST!E50="b",TEST!C50="o"),"positive",AND(TEST!E50="o",TEST!H50="x"),"negative",AND(TEST!E50="o",TEST!H50="b"),"positive",AND(TEST!E50="o",TEST!H50="o"),"negative")</f>
        <v>positive</v>
      </c>
      <c r="B281" s="12" t="str">
        <f>TEST!J50</f>
        <v>negative</v>
      </c>
    </row>
    <row r="282" spans="1:2" x14ac:dyDescent="0.3">
      <c r="A282" s="12" t="str" cm="1">
        <f t="array" ref="A282">_xlfn.IFS(AND(TEST!E51="x",TEST!A51="x",TEST!I51="x"),"positive",AND(TEST!E51="x",TEST!A51="x",TEST!I51="b"),"positive",AND(TEST!E51="x",TEST!A51="x",TEST!I51="o"),"positive",AND(TEST!E51="x",TEST!A51="b",TEST!B51="x"),"positive",AND(TEST!E51="x",TEST!A51="b",TEST!B51="b"),"positive",AND(TEST!E51="x",TEST!A51="b",TEST!B51="o"),"positive",AND(TEST!E51="x",TEST!A51="o",TEST!G51="x"),"positive",AND(TEST!E51="x",TEST!A51="o",TEST!G51="b"),"positive",AND(TEST!E51="x",TEST!A51="o",TEST!G51="o"),"positive",AND(TEST!E51="b",TEST!C51="x",TEST!F51="x"),"positive",AND(TEST!E51="b",TEST!C51="x",TEST!F51="b"),"positive",AND(TEST!E51="b",TEST!C51="x",TEST!F51="o"),"positive",AND(TEST!E51="b",TEST!C51="b"),"positive",AND(TEST!E51="b",TEST!C51="o"),"positive",AND(TEST!E51="o",TEST!H51="x"),"negative",AND(TEST!E51="o",TEST!H51="b"),"positive",AND(TEST!E51="o",TEST!H51="o"),"negative")</f>
        <v>negative</v>
      </c>
      <c r="B282" s="12" t="str">
        <f>TEST!J51</f>
        <v>negative</v>
      </c>
    </row>
    <row r="283" spans="1:2" x14ac:dyDescent="0.3">
      <c r="A283" s="12" t="str" cm="1">
        <f t="array" ref="A283">_xlfn.IFS(AND(TEST!E52="x",TEST!A52="x",TEST!I52="x"),"positive",AND(TEST!E52="x",TEST!A52="x",TEST!I52="b"),"positive",AND(TEST!E52="x",TEST!A52="x",TEST!I52="o"),"positive",AND(TEST!E52="x",TEST!A52="b",TEST!B52="x"),"positive",AND(TEST!E52="x",TEST!A52="b",TEST!B52="b"),"positive",AND(TEST!E52="x",TEST!A52="b",TEST!B52="o"),"positive",AND(TEST!E52="x",TEST!A52="o",TEST!G52="x"),"positive",AND(TEST!E52="x",TEST!A52="o",TEST!G52="b"),"positive",AND(TEST!E52="x",TEST!A52="o",TEST!G52="o"),"positive",AND(TEST!E52="b",TEST!C52="x",TEST!F52="x"),"positive",AND(TEST!E52="b",TEST!C52="x",TEST!F52="b"),"positive",AND(TEST!E52="b",TEST!C52="x",TEST!F52="o"),"positive",AND(TEST!E52="b",TEST!C52="b"),"positive",AND(TEST!E52="b",TEST!C52="o"),"positive",AND(TEST!E52="o",TEST!H52="x"),"negative",AND(TEST!E52="o",TEST!H52="b"),"positive",AND(TEST!E52="o",TEST!H52="o"),"negative")</f>
        <v>negative</v>
      </c>
      <c r="B283" s="12" t="str">
        <f>TEST!J52</f>
        <v>negative</v>
      </c>
    </row>
    <row r="284" spans="1:2" x14ac:dyDescent="0.3">
      <c r="A284" s="12" t="str" cm="1">
        <f t="array" ref="A284">_xlfn.IFS(AND(TEST!E53="x",TEST!A53="x",TEST!I53="x"),"positive",AND(TEST!E53="x",TEST!A53="x",TEST!I53="b"),"positive",AND(TEST!E53="x",TEST!A53="x",TEST!I53="o"),"positive",AND(TEST!E53="x",TEST!A53="b",TEST!B53="x"),"positive",AND(TEST!E53="x",TEST!A53="b",TEST!B53="b"),"positive",AND(TEST!E53="x",TEST!A53="b",TEST!B53="o"),"positive",AND(TEST!E53="x",TEST!A53="o",TEST!G53="x"),"positive",AND(TEST!E53="x",TEST!A53="o",TEST!G53="b"),"positive",AND(TEST!E53="x",TEST!A53="o",TEST!G53="o"),"positive",AND(TEST!E53="b",TEST!C53="x",TEST!F53="x"),"positive",AND(TEST!E53="b",TEST!C53="x",TEST!F53="b"),"positive",AND(TEST!E53="b",TEST!C53="x",TEST!F53="o"),"positive",AND(TEST!E53="b",TEST!C53="b"),"positive",AND(TEST!E53="b",TEST!C53="o"),"positive",AND(TEST!E53="o",TEST!H53="x"),"negative",AND(TEST!E53="o",TEST!H53="b"),"positive",AND(TEST!E53="o",TEST!H53="o"),"negative")</f>
        <v>positive</v>
      </c>
      <c r="B284" s="12" t="str">
        <f>TEST!J53</f>
        <v>negative</v>
      </c>
    </row>
    <row r="285" spans="1:2" x14ac:dyDescent="0.3">
      <c r="A285" s="12" t="str" cm="1">
        <f t="array" ref="A285">_xlfn.IFS(AND(TEST!E54="x",TEST!A54="x",TEST!I54="x"),"positive",AND(TEST!E54="x",TEST!A54="x",TEST!I54="b"),"positive",AND(TEST!E54="x",TEST!A54="x",TEST!I54="o"),"positive",AND(TEST!E54="x",TEST!A54="b",TEST!B54="x"),"positive",AND(TEST!E54="x",TEST!A54="b",TEST!B54="b"),"positive",AND(TEST!E54="x",TEST!A54="b",TEST!B54="o"),"positive",AND(TEST!E54="x",TEST!A54="o",TEST!G54="x"),"positive",AND(TEST!E54="x",TEST!A54="o",TEST!G54="b"),"positive",AND(TEST!E54="x",TEST!A54="o",TEST!G54="o"),"positive",AND(TEST!E54="b",TEST!C54="x",TEST!F54="x"),"positive",AND(TEST!E54="b",TEST!C54="x",TEST!F54="b"),"positive",AND(TEST!E54="b",TEST!C54="x",TEST!F54="o"),"positive",AND(TEST!E54="b",TEST!C54="b"),"positive",AND(TEST!E54="b",TEST!C54="o"),"positive",AND(TEST!E54="o",TEST!H54="x"),"negative",AND(TEST!E54="o",TEST!H54="b"),"positive",AND(TEST!E54="o",TEST!H54="o"),"negative")</f>
        <v>positive</v>
      </c>
      <c r="B285" s="12" t="str">
        <f>TEST!J54</f>
        <v>negative</v>
      </c>
    </row>
    <row r="286" spans="1:2" x14ac:dyDescent="0.3">
      <c r="A286" s="12" t="str" cm="1">
        <f t="array" ref="A286">_xlfn.IFS(AND(TEST!E55="x",TEST!A55="x",TEST!I55="x"),"positive",AND(TEST!E55="x",TEST!A55="x",TEST!I55="b"),"positive",AND(TEST!E55="x",TEST!A55="x",TEST!I55="o"),"positive",AND(TEST!E55="x",TEST!A55="b",TEST!B55="x"),"positive",AND(TEST!E55="x",TEST!A55="b",TEST!B55="b"),"positive",AND(TEST!E55="x",TEST!A55="b",TEST!B55="o"),"positive",AND(TEST!E55="x",TEST!A55="o",TEST!G55="x"),"positive",AND(TEST!E55="x",TEST!A55="o",TEST!G55="b"),"positive",AND(TEST!E55="x",TEST!A55="o",TEST!G55="o"),"positive",AND(TEST!E55="b",TEST!C55="x",TEST!F55="x"),"positive",AND(TEST!E55="b",TEST!C55="x",TEST!F55="b"),"positive",AND(TEST!E55="b",TEST!C55="x",TEST!F55="o"),"positive",AND(TEST!E55="b",TEST!C55="b"),"positive",AND(TEST!E55="b",TEST!C55="o"),"positive",AND(TEST!E55="o",TEST!H55="x"),"negative",AND(TEST!E55="o",TEST!H55="b"),"positive",AND(TEST!E55="o",TEST!H55="o"),"negative")</f>
        <v>positive</v>
      </c>
      <c r="B286" s="12" t="str">
        <f>TEST!J55</f>
        <v>negative</v>
      </c>
    </row>
    <row r="287" spans="1:2" x14ac:dyDescent="0.3">
      <c r="A287" s="12" t="str" cm="1">
        <f t="array" ref="A287">_xlfn.IFS(AND(TEST!E56="x",TEST!A56="x",TEST!I56="x"),"positive",AND(TEST!E56="x",TEST!A56="x",TEST!I56="b"),"positive",AND(TEST!E56="x",TEST!A56="x",TEST!I56="o"),"positive",AND(TEST!E56="x",TEST!A56="b",TEST!B56="x"),"positive",AND(TEST!E56="x",TEST!A56="b",TEST!B56="b"),"positive",AND(TEST!E56="x",TEST!A56="b",TEST!B56="o"),"positive",AND(TEST!E56="x",TEST!A56="o",TEST!G56="x"),"positive",AND(TEST!E56="x",TEST!A56="o",TEST!G56="b"),"positive",AND(TEST!E56="x",TEST!A56="o",TEST!G56="o"),"positive",AND(TEST!E56="b",TEST!C56="x",TEST!F56="x"),"positive",AND(TEST!E56="b",TEST!C56="x",TEST!F56="b"),"positive",AND(TEST!E56="b",TEST!C56="x",TEST!F56="o"),"positive",AND(TEST!E56="b",TEST!C56="b"),"positive",AND(TEST!E56="b",TEST!C56="o"),"positive",AND(TEST!E56="o",TEST!H56="x"),"negative",AND(TEST!E56="o",TEST!H56="b"),"positive",AND(TEST!E56="o",TEST!H56="o"),"negative")</f>
        <v>positive</v>
      </c>
      <c r="B287" s="12" t="str">
        <f>TEST!J56</f>
        <v>negative</v>
      </c>
    </row>
    <row r="288" spans="1:2" x14ac:dyDescent="0.3">
      <c r="A288" s="12" t="str" cm="1">
        <f t="array" ref="A288">_xlfn.IFS(AND(TEST!E57="x",TEST!A57="x",TEST!I57="x"),"positive",AND(TEST!E57="x",TEST!A57="x",TEST!I57="b"),"positive",AND(TEST!E57="x",TEST!A57="x",TEST!I57="o"),"positive",AND(TEST!E57="x",TEST!A57="b",TEST!B57="x"),"positive",AND(TEST!E57="x",TEST!A57="b",TEST!B57="b"),"positive",AND(TEST!E57="x",TEST!A57="b",TEST!B57="o"),"positive",AND(TEST!E57="x",TEST!A57="o",TEST!G57="x"),"positive",AND(TEST!E57="x",TEST!A57="o",TEST!G57="b"),"positive",AND(TEST!E57="x",TEST!A57="o",TEST!G57="o"),"positive",AND(TEST!E57="b",TEST!C57="x",TEST!F57="x"),"positive",AND(TEST!E57="b",TEST!C57="x",TEST!F57="b"),"positive",AND(TEST!E57="b",TEST!C57="x",TEST!F57="o"),"positive",AND(TEST!E57="b",TEST!C57="b"),"positive",AND(TEST!E57="b",TEST!C57="o"),"positive",AND(TEST!E57="o",TEST!H57="x"),"negative",AND(TEST!E57="o",TEST!H57="b"),"positive",AND(TEST!E57="o",TEST!H57="o"),"negative")</f>
        <v>negative</v>
      </c>
      <c r="B288" s="12" t="str">
        <f>TEST!J57</f>
        <v>negative</v>
      </c>
    </row>
    <row r="289" spans="1:8" x14ac:dyDescent="0.3">
      <c r="A289" s="12" t="str" cm="1">
        <f t="array" ref="A289">_xlfn.IFS(AND(TEST!E58="x",TEST!A58="x",TEST!I58="x"),"positive",AND(TEST!E58="x",TEST!A58="x",TEST!I58="b"),"positive",AND(TEST!E58="x",TEST!A58="x",TEST!I58="o"),"positive",AND(TEST!E58="x",TEST!A58="b",TEST!B58="x"),"positive",AND(TEST!E58="x",TEST!A58="b",TEST!B58="b"),"positive",AND(TEST!E58="x",TEST!A58="b",TEST!B58="o"),"positive",AND(TEST!E58="x",TEST!A58="o",TEST!G58="x"),"positive",AND(TEST!E58="x",TEST!A58="o",TEST!G58="b"),"positive",AND(TEST!E58="x",TEST!A58="o",TEST!G58="o"),"positive",AND(TEST!E58="b",TEST!C58="x",TEST!F58="x"),"positive",AND(TEST!E58="b",TEST!C58="x",TEST!F58="b"),"positive",AND(TEST!E58="b",TEST!C58="x",TEST!F58="o"),"positive",AND(TEST!E58="b",TEST!C58="b"),"positive",AND(TEST!E58="b",TEST!C58="o"),"positive",AND(TEST!E58="o",TEST!H58="x"),"negative",AND(TEST!E58="o",TEST!H58="b"),"positive",AND(TEST!E58="o",TEST!H58="o"),"negative")</f>
        <v>negative</v>
      </c>
      <c r="B289" s="12" t="str">
        <f>TEST!J58</f>
        <v>negative</v>
      </c>
    </row>
    <row r="290" spans="1:8" x14ac:dyDescent="0.3">
      <c r="A290" s="12" t="str" cm="1">
        <f t="array" ref="A290">_xlfn.IFS(AND(TEST!E59="x",TEST!A59="x",TEST!I59="x"),"positive",AND(TEST!E59="x",TEST!A59="x",TEST!I59="b"),"positive",AND(TEST!E59="x",TEST!A59="x",TEST!I59="o"),"positive",AND(TEST!E59="x",TEST!A59="b",TEST!B59="x"),"positive",AND(TEST!E59="x",TEST!A59="b",TEST!B59="b"),"positive",AND(TEST!E59="x",TEST!A59="b",TEST!B59="o"),"positive",AND(TEST!E59="x",TEST!A59="o",TEST!G59="x"),"positive",AND(TEST!E59="x",TEST!A59="o",TEST!G59="b"),"positive",AND(TEST!E59="x",TEST!A59="o",TEST!G59="o"),"positive",AND(TEST!E59="b",TEST!C59="x",TEST!F59="x"),"positive",AND(TEST!E59="b",TEST!C59="x",TEST!F59="b"),"positive",AND(TEST!E59="b",TEST!C59="x",TEST!F59="o"),"positive",AND(TEST!E59="b",TEST!C59="b"),"positive",AND(TEST!E59="b",TEST!C59="o"),"positive",AND(TEST!E59="o",TEST!H59="x"),"negative",AND(TEST!E59="o",TEST!H59="b"),"positive",AND(TEST!E59="o",TEST!H59="o"),"negative")</f>
        <v>positive</v>
      </c>
      <c r="B290" s="12" t="str">
        <f>TEST!J59</f>
        <v>negative</v>
      </c>
    </row>
    <row r="291" spans="1:8" x14ac:dyDescent="0.3">
      <c r="A291" s="12" t="str" cm="1">
        <f t="array" ref="A291">_xlfn.IFS(AND(TEST!E60="x",TEST!A60="x",TEST!I60="x"),"positive",AND(TEST!E60="x",TEST!A60="x",TEST!I60="b"),"positive",AND(TEST!E60="x",TEST!A60="x",TEST!I60="o"),"positive",AND(TEST!E60="x",TEST!A60="b",TEST!B60="x"),"positive",AND(TEST!E60="x",TEST!A60="b",TEST!B60="b"),"positive",AND(TEST!E60="x",TEST!A60="b",TEST!B60="o"),"positive",AND(TEST!E60="x",TEST!A60="o",TEST!G60="x"),"positive",AND(TEST!E60="x",TEST!A60="o",TEST!G60="b"),"positive",AND(TEST!E60="x",TEST!A60="o",TEST!G60="o"),"positive",AND(TEST!E60="b",TEST!C60="x",TEST!F60="x"),"positive",AND(TEST!E60="b",TEST!C60="x",TEST!F60="b"),"positive",AND(TEST!E60="b",TEST!C60="x",TEST!F60="o"),"positive",AND(TEST!E60="b",TEST!C60="b"),"positive",AND(TEST!E60="b",TEST!C60="o"),"positive",AND(TEST!E60="o",TEST!H60="x"),"negative",AND(TEST!E60="o",TEST!H60="b"),"positive",AND(TEST!E60="o",TEST!H60="o"),"negative")</f>
        <v>negative</v>
      </c>
      <c r="B291" s="12" t="str">
        <f>TEST!J60</f>
        <v>negative</v>
      </c>
    </row>
    <row r="292" spans="1:8" x14ac:dyDescent="0.3">
      <c r="A292" s="12" t="str" cm="1">
        <f t="array" ref="A292">_xlfn.IFS(AND(TEST!E61="x",TEST!A61="x",TEST!I61="x"),"positive",AND(TEST!E61="x",TEST!A61="x",TEST!I61="b"),"positive",AND(TEST!E61="x",TEST!A61="x",TEST!I61="o"),"positive",AND(TEST!E61="x",TEST!A61="b",TEST!B61="x"),"positive",AND(TEST!E61="x",TEST!A61="b",TEST!B61="b"),"positive",AND(TEST!E61="x",TEST!A61="b",TEST!B61="o"),"positive",AND(TEST!E61="x",TEST!A61="o",TEST!G61="x"),"positive",AND(TEST!E61="x",TEST!A61="o",TEST!G61="b"),"positive",AND(TEST!E61="x",TEST!A61="o",TEST!G61="o"),"positive",AND(TEST!E61="b",TEST!C61="x",TEST!F61="x"),"positive",AND(TEST!E61="b",TEST!C61="x",TEST!F61="b"),"positive",AND(TEST!E61="b",TEST!C61="x",TEST!F61="o"),"positive",AND(TEST!E61="b",TEST!C61="b"),"positive",AND(TEST!E61="b",TEST!C61="o"),"positive",AND(TEST!E61="o",TEST!H61="x"),"negative",AND(TEST!E61="o",TEST!H61="b"),"positive",AND(TEST!E61="o",TEST!H61="o"),"negative")</f>
        <v>negative</v>
      </c>
      <c r="B292" s="12" t="str">
        <f>TEST!J61</f>
        <v>negative</v>
      </c>
    </row>
    <row r="293" spans="1:8" x14ac:dyDescent="0.3">
      <c r="A293" s="12" t="str" cm="1">
        <f t="array" ref="A293">_xlfn.IFS(AND(TEST!E62="x",TEST!A62="x",TEST!I62="x"),"positive",AND(TEST!E62="x",TEST!A62="x",TEST!I62="b"),"positive",AND(TEST!E62="x",TEST!A62="x",TEST!I62="o"),"positive",AND(TEST!E62="x",TEST!A62="b",TEST!B62="x"),"positive",AND(TEST!E62="x",TEST!A62="b",TEST!B62="b"),"positive",AND(TEST!E62="x",TEST!A62="b",TEST!B62="o"),"positive",AND(TEST!E62="x",TEST!A62="o",TEST!G62="x"),"positive",AND(TEST!E62="x",TEST!A62="o",TEST!G62="b"),"positive",AND(TEST!E62="x",TEST!A62="o",TEST!G62="o"),"positive",AND(TEST!E62="b",TEST!C62="x",TEST!F62="x"),"positive",AND(TEST!E62="b",TEST!C62="x",TEST!F62="b"),"positive",AND(TEST!E62="b",TEST!C62="x",TEST!F62="o"),"positive",AND(TEST!E62="b",TEST!C62="b"),"positive",AND(TEST!E62="b",TEST!C62="o"),"positive",AND(TEST!E62="o",TEST!H62="x"),"negative",AND(TEST!E62="o",TEST!H62="b"),"positive",AND(TEST!E62="o",TEST!H62="o"),"negative")</f>
        <v>negative</v>
      </c>
      <c r="B293" s="12" t="str">
        <f>TEST!J62</f>
        <v>positive</v>
      </c>
    </row>
    <row r="294" spans="1:8" x14ac:dyDescent="0.3">
      <c r="A294" s="12" t="str" cm="1">
        <f t="array" ref="A294">_xlfn.IFS(AND(TEST!E63="x",TEST!A63="x",TEST!I63="x"),"positive",AND(TEST!E63="x",TEST!A63="x",TEST!I63="b"),"positive",AND(TEST!E63="x",TEST!A63="x",TEST!I63="o"),"positive",AND(TEST!E63="x",TEST!A63="b",TEST!B63="x"),"positive",AND(TEST!E63="x",TEST!A63="b",TEST!B63="b"),"positive",AND(TEST!E63="x",TEST!A63="b",TEST!B63="o"),"positive",AND(TEST!E63="x",TEST!A63="o",TEST!G63="x"),"positive",AND(TEST!E63="x",TEST!A63="o",TEST!G63="b"),"positive",AND(TEST!E63="x",TEST!A63="o",TEST!G63="o"),"positive",AND(TEST!E63="b",TEST!C63="x",TEST!F63="x"),"positive",AND(TEST!E63="b",TEST!C63="x",TEST!F63="b"),"positive",AND(TEST!E63="b",TEST!C63="x",TEST!F63="o"),"positive",AND(TEST!E63="b",TEST!C63="b"),"positive",AND(TEST!E63="b",TEST!C63="o"),"positive",AND(TEST!E63="o",TEST!H63="x"),"negative",AND(TEST!E63="o",TEST!H63="b"),"positive",AND(TEST!E63="o",TEST!H63="o"),"negative")</f>
        <v>positive</v>
      </c>
      <c r="B294" s="12" t="str">
        <f>TEST!J63</f>
        <v>positive</v>
      </c>
    </row>
    <row r="295" spans="1:8" x14ac:dyDescent="0.3">
      <c r="A295" s="12" t="str" cm="1">
        <f t="array" ref="A295">_xlfn.IFS(AND(TEST!E64="x",TEST!A64="x",TEST!I64="x"),"positive",AND(TEST!E64="x",TEST!A64="x",TEST!I64="b"),"positive",AND(TEST!E64="x",TEST!A64="x",TEST!I64="o"),"positive",AND(TEST!E64="x",TEST!A64="b",TEST!B64="x"),"positive",AND(TEST!E64="x",TEST!A64="b",TEST!B64="b"),"positive",AND(TEST!E64="x",TEST!A64="b",TEST!B64="o"),"positive",AND(TEST!E64="x",TEST!A64="o",TEST!G64="x"),"positive",AND(TEST!E64="x",TEST!A64="o",TEST!G64="b"),"positive",AND(TEST!E64="x",TEST!A64="o",TEST!G64="o"),"positive",AND(TEST!E64="b",TEST!C64="x",TEST!F64="x"),"positive",AND(TEST!E64="b",TEST!C64="x",TEST!F64="b"),"positive",AND(TEST!E64="b",TEST!C64="x",TEST!F64="o"),"positive",AND(TEST!E64="b",TEST!C64="b"),"positive",AND(TEST!E64="b",TEST!C64="o"),"positive",AND(TEST!E64="o",TEST!H64="x"),"negative",AND(TEST!E64="o",TEST!H64="b"),"positive",AND(TEST!E64="o",TEST!H64="o"),"negative")</f>
        <v>positive</v>
      </c>
      <c r="B295" s="12" t="str">
        <f>TEST!J64</f>
        <v>positive</v>
      </c>
    </row>
    <row r="296" spans="1:8" x14ac:dyDescent="0.3">
      <c r="A296" s="12" t="str" cm="1">
        <f t="array" ref="A296">_xlfn.IFS(AND(TEST!E65="x",TEST!A65="x",TEST!I65="x"),"positive",AND(TEST!E65="x",TEST!A65="x",TEST!I65="b"),"positive",AND(TEST!E65="x",TEST!A65="x",TEST!I65="o"),"positive",AND(TEST!E65="x",TEST!A65="b",TEST!B65="x"),"positive",AND(TEST!E65="x",TEST!A65="b",TEST!B65="b"),"positive",AND(TEST!E65="x",TEST!A65="b",TEST!B65="o"),"positive",AND(TEST!E65="x",TEST!A65="o",TEST!G65="x"),"positive",AND(TEST!E65="x",TEST!A65="o",TEST!G65="b"),"positive",AND(TEST!E65="x",TEST!A65="o",TEST!G65="o"),"positive",AND(TEST!E65="b",TEST!C65="x",TEST!F65="x"),"positive",AND(TEST!E65="b",TEST!C65="x",TEST!F65="b"),"positive",AND(TEST!E65="b",TEST!C65="x",TEST!F65="o"),"positive",AND(TEST!E65="b",TEST!C65="b"),"positive",AND(TEST!E65="b",TEST!C65="o"),"positive",AND(TEST!E65="o",TEST!H65="x"),"negative",AND(TEST!E65="o",TEST!H65="b"),"positive",AND(TEST!E65="o",TEST!H65="o"),"negative")</f>
        <v>positive</v>
      </c>
      <c r="B296" s="12" t="str">
        <f>TEST!J65</f>
        <v>positive</v>
      </c>
    </row>
    <row r="297" spans="1:8" x14ac:dyDescent="0.3">
      <c r="A297" s="12" t="str" cm="1">
        <f t="array" ref="A297">_xlfn.IFS(AND(TEST!E66="x",TEST!A66="x",TEST!I66="x"),"positive",AND(TEST!E66="x",TEST!A66="x",TEST!I66="b"),"positive",AND(TEST!E66="x",TEST!A66="x",TEST!I66="o"),"positive",AND(TEST!E66="x",TEST!A66="b",TEST!B66="x"),"positive",AND(TEST!E66="x",TEST!A66="b",TEST!B66="b"),"positive",AND(TEST!E66="x",TEST!A66="b",TEST!B66="o"),"positive",AND(TEST!E66="x",TEST!A66="o",TEST!G66="x"),"positive",AND(TEST!E66="x",TEST!A66="o",TEST!G66="b"),"positive",AND(TEST!E66="x",TEST!A66="o",TEST!G66="o"),"positive",AND(TEST!E66="b",TEST!C66="x",TEST!F66="x"),"positive",AND(TEST!E66="b",TEST!C66="x",TEST!F66="b"),"positive",AND(TEST!E66="b",TEST!C66="x",TEST!F66="o"),"positive",AND(TEST!E66="b",TEST!C66="b"),"positive",AND(TEST!E66="b",TEST!C66="o"),"positive",AND(TEST!E66="o",TEST!H66="x"),"negative",AND(TEST!E66="o",TEST!H66="b"),"positive",AND(TEST!E66="o",TEST!H66="o"),"negative")</f>
        <v>positive</v>
      </c>
      <c r="B297" s="12" t="str">
        <f>TEST!J66</f>
        <v>positive</v>
      </c>
    </row>
    <row r="298" spans="1:8" x14ac:dyDescent="0.3">
      <c r="A298" s="12" t="str" cm="1">
        <f t="array" ref="A298">_xlfn.IFS(AND(TEST!E67="x",TEST!A67="x",TEST!I67="x"),"positive",AND(TEST!E67="x",TEST!A67="x",TEST!I67="b"),"positive",AND(TEST!E67="x",TEST!A67="x",TEST!I67="o"),"positive",AND(TEST!E67="x",TEST!A67="b",TEST!B67="x"),"positive",AND(TEST!E67="x",TEST!A67="b",TEST!B67="b"),"positive",AND(TEST!E67="x",TEST!A67="b",TEST!B67="o"),"positive",AND(TEST!E67="x",TEST!A67="o",TEST!G67="x"),"positive",AND(TEST!E67="x",TEST!A67="o",TEST!G67="b"),"positive",AND(TEST!E67="x",TEST!A67="o",TEST!G67="o"),"positive",AND(TEST!E67="b",TEST!C67="x",TEST!F67="x"),"positive",AND(TEST!E67="b",TEST!C67="x",TEST!F67="b"),"positive",AND(TEST!E67="b",TEST!C67="x",TEST!F67="o"),"positive",AND(TEST!E67="b",TEST!C67="b"),"positive",AND(TEST!E67="b",TEST!C67="o"),"positive",AND(TEST!E67="o",TEST!H67="x"),"negative",AND(TEST!E67="o",TEST!H67="b"),"positive",AND(TEST!E67="o",TEST!H67="o"),"negative")</f>
        <v>positive</v>
      </c>
      <c r="B298" s="12" t="str">
        <f>TEST!J67</f>
        <v>positive</v>
      </c>
    </row>
    <row r="299" spans="1:8" x14ac:dyDescent="0.3">
      <c r="A299" s="12" t="str" cm="1">
        <f t="array" ref="A299">_xlfn.IFS(AND(TEST!E68="x",TEST!A68="x",TEST!I68="x"),"positive",AND(TEST!E68="x",TEST!A68="x",TEST!I68="b"),"positive",AND(TEST!E68="x",TEST!A68="x",TEST!I68="o"),"positive",AND(TEST!E68="x",TEST!A68="b",TEST!B68="x"),"positive",AND(TEST!E68="x",TEST!A68="b",TEST!B68="b"),"positive",AND(TEST!E68="x",TEST!A68="b",TEST!B68="o"),"positive",AND(TEST!E68="x",TEST!A68="o",TEST!G68="x"),"positive",AND(TEST!E68="x",TEST!A68="o",TEST!G68="b"),"positive",AND(TEST!E68="x",TEST!A68="o",TEST!G68="o"),"positive",AND(TEST!E68="b",TEST!C68="x",TEST!F68="x"),"positive",AND(TEST!E68="b",TEST!C68="x",TEST!F68="b"),"positive",AND(TEST!E68="b",TEST!C68="x",TEST!F68="o"),"positive",AND(TEST!E68="b",TEST!C68="b"),"positive",AND(TEST!E68="b",TEST!C68="o"),"positive",AND(TEST!E68="o",TEST!H68="x"),"negative",AND(TEST!E68="o",TEST!H68="b"),"positive",AND(TEST!E68="o",TEST!H68="o"),"negative")</f>
        <v>positive</v>
      </c>
      <c r="B299" s="12" t="str">
        <f>TEST!J68</f>
        <v>positive</v>
      </c>
    </row>
    <row r="300" spans="1:8" x14ac:dyDescent="0.3">
      <c r="A300" s="12" t="str" cm="1">
        <f t="array" ref="A300">_xlfn.IFS(AND(TEST!E69="x",TEST!A69="x",TEST!I69="x"),"positive",AND(TEST!E69="x",TEST!A69="x",TEST!I69="b"),"positive",AND(TEST!E69="x",TEST!A69="x",TEST!I69="o"),"positive",AND(TEST!E69="x",TEST!A69="b",TEST!B69="x"),"positive",AND(TEST!E69="x",TEST!A69="b",TEST!B69="b"),"positive",AND(TEST!E69="x",TEST!A69="b",TEST!B69="o"),"positive",AND(TEST!E69="x",TEST!A69="o",TEST!G69="x"),"positive",AND(TEST!E69="x",TEST!A69="o",TEST!G69="b"),"positive",AND(TEST!E69="x",TEST!A69="o",TEST!G69="o"),"positive",AND(TEST!E69="b",TEST!C69="x",TEST!F69="x"),"positive",AND(TEST!E69="b",TEST!C69="x",TEST!F69="b"),"positive",AND(TEST!E69="b",TEST!C69="x",TEST!F69="o"),"positive",AND(TEST!E69="b",TEST!C69="b"),"positive",AND(TEST!E69="b",TEST!C69="o"),"positive",AND(TEST!E69="o",TEST!H69="x"),"negative",AND(TEST!E69="o",TEST!H69="b"),"positive",AND(TEST!E69="o",TEST!H69="o"),"negative")</f>
        <v>negative</v>
      </c>
      <c r="B300" s="12" t="str">
        <f>TEST!J69</f>
        <v>positive</v>
      </c>
    </row>
    <row r="301" spans="1:8" x14ac:dyDescent="0.3">
      <c r="A301" s="12" t="str" cm="1">
        <f t="array" ref="A301">_xlfn.IFS(AND(TEST!E70="x",TEST!A70="x",TEST!I70="x"),"positive",AND(TEST!E70="x",TEST!A70="x",TEST!I70="b"),"positive",AND(TEST!E70="x",TEST!A70="x",TEST!I70="o"),"positive",AND(TEST!E70="x",TEST!A70="b",TEST!B70="x"),"positive",AND(TEST!E70="x",TEST!A70="b",TEST!B70="b"),"positive",AND(TEST!E70="x",TEST!A70="b",TEST!B70="o"),"positive",AND(TEST!E70="x",TEST!A70="o",TEST!G70="x"),"positive",AND(TEST!E70="x",TEST!A70="o",TEST!G70="b"),"positive",AND(TEST!E70="x",TEST!A70="o",TEST!G70="o"),"positive",AND(TEST!E70="b",TEST!C70="x",TEST!F70="x"),"positive",AND(TEST!E70="b",TEST!C70="x",TEST!F70="b"),"positive",AND(TEST!E70="b",TEST!C70="x",TEST!F70="o"),"positive",AND(TEST!E70="b",TEST!C70="b"),"positive",AND(TEST!E70="b",TEST!C70="o"),"positive",AND(TEST!E70="o",TEST!H70="x"),"negative",AND(TEST!E70="o",TEST!H70="b"),"positive",AND(TEST!E70="o",TEST!H70="o"),"negative")</f>
        <v>positive</v>
      </c>
      <c r="B301" s="12" t="str">
        <f>TEST!J70</f>
        <v>positive</v>
      </c>
      <c r="C301" s="9"/>
      <c r="D301" s="9"/>
      <c r="E301" s="9"/>
      <c r="F301" s="9"/>
      <c r="G301" s="9"/>
      <c r="H301" s="9"/>
    </row>
    <row r="302" spans="1:8" x14ac:dyDescent="0.3">
      <c r="A302" s="12" t="str" cm="1">
        <f t="array" ref="A302">_xlfn.IFS(AND(TEST!E71="x",TEST!A71="x",TEST!I71="x"),"positive",AND(TEST!E71="x",TEST!A71="x",TEST!I71="b"),"positive",AND(TEST!E71="x",TEST!A71="x",TEST!I71="o"),"positive",AND(TEST!E71="x",TEST!A71="b",TEST!B71="x"),"positive",AND(TEST!E71="x",TEST!A71="b",TEST!B71="b"),"positive",AND(TEST!E71="x",TEST!A71="b",TEST!B71="o"),"positive",AND(TEST!E71="x",TEST!A71="o",TEST!G71="x"),"positive",AND(TEST!E71="x",TEST!A71="o",TEST!G71="b"),"positive",AND(TEST!E71="x",TEST!A71="o",TEST!G71="o"),"positive",AND(TEST!E71="b",TEST!C71="x",TEST!F71="x"),"positive",AND(TEST!E71="b",TEST!C71="x",TEST!F71="b"),"positive",AND(TEST!E71="b",TEST!C71="x",TEST!F71="o"),"positive",AND(TEST!E71="b",TEST!C71="b"),"positive",AND(TEST!E71="b",TEST!C71="o"),"positive",AND(TEST!E71="o",TEST!H71="x"),"negative",AND(TEST!E71="o",TEST!H71="b"),"positive",AND(TEST!E71="o",TEST!H71="o"),"negative")</f>
        <v>positive</v>
      </c>
      <c r="B302" s="12" t="str">
        <f>TEST!J71</f>
        <v>positive</v>
      </c>
    </row>
    <row r="303" spans="1:8" x14ac:dyDescent="0.3">
      <c r="A303" s="12" t="str" cm="1">
        <f t="array" ref="A303">_xlfn.IFS(AND(TEST!E72="x",TEST!A72="x",TEST!I72="x"),"positive",AND(TEST!E72="x",TEST!A72="x",TEST!I72="b"),"positive",AND(TEST!E72="x",TEST!A72="x",TEST!I72="o"),"positive",AND(TEST!E72="x",TEST!A72="b",TEST!B72="x"),"positive",AND(TEST!E72="x",TEST!A72="b",TEST!B72="b"),"positive",AND(TEST!E72="x",TEST!A72="b",TEST!B72="o"),"positive",AND(TEST!E72="x",TEST!A72="o",TEST!G72="x"),"positive",AND(TEST!E72="x",TEST!A72="o",TEST!G72="b"),"positive",AND(TEST!E72="x",TEST!A72="o",TEST!G72="o"),"positive",AND(TEST!E72="b",TEST!C72="x",TEST!F72="x"),"positive",AND(TEST!E72="b",TEST!C72="x",TEST!F72="b"),"positive",AND(TEST!E72="b",TEST!C72="x",TEST!F72="o"),"positive",AND(TEST!E72="b",TEST!C72="b"),"positive",AND(TEST!E72="b",TEST!C72="o"),"positive",AND(TEST!E72="o",TEST!H72="x"),"negative",AND(TEST!E72="o",TEST!H72="b"),"positive",AND(TEST!E72="o",TEST!H72="o"),"negative")</f>
        <v>negative</v>
      </c>
      <c r="B303" s="12" t="str">
        <f>TEST!J72</f>
        <v>negative</v>
      </c>
    </row>
    <row r="304" spans="1:8" x14ac:dyDescent="0.3">
      <c r="A304" s="12" t="str" cm="1">
        <f t="array" ref="A304">_xlfn.IFS(AND(TEST!E73="x",TEST!A73="x",TEST!I73="x"),"positive",AND(TEST!E73="x",TEST!A73="x",TEST!I73="b"),"positive",AND(TEST!E73="x",TEST!A73="x",TEST!I73="o"),"positive",AND(TEST!E73="x",TEST!A73="b",TEST!B73="x"),"positive",AND(TEST!E73="x",TEST!A73="b",TEST!B73="b"),"positive",AND(TEST!E73="x",TEST!A73="b",TEST!B73="o"),"positive",AND(TEST!E73="x",TEST!A73="o",TEST!G73="x"),"positive",AND(TEST!E73="x",TEST!A73="o",TEST!G73="b"),"positive",AND(TEST!E73="x",TEST!A73="o",TEST!G73="o"),"positive",AND(TEST!E73="b",TEST!C73="x",TEST!F73="x"),"positive",AND(TEST!E73="b",TEST!C73="x",TEST!F73="b"),"positive",AND(TEST!E73="b",TEST!C73="x",TEST!F73="o"),"positive",AND(TEST!E73="b",TEST!C73="b"),"positive",AND(TEST!E73="b",TEST!C73="o"),"positive",AND(TEST!E73="o",TEST!H73="x"),"negative",AND(TEST!E73="o",TEST!H73="b"),"positive",AND(TEST!E73="o",TEST!H73="o"),"negative")</f>
        <v>negative</v>
      </c>
      <c r="B304" s="12" t="str">
        <f>TEST!J73</f>
        <v>negative</v>
      </c>
    </row>
    <row r="305" spans="1:2" x14ac:dyDescent="0.3">
      <c r="A305" s="12" t="str" cm="1">
        <f t="array" ref="A305">_xlfn.IFS(AND(TEST!E74="x",TEST!A74="x",TEST!I74="x"),"positive",AND(TEST!E74="x",TEST!A74="x",TEST!I74="b"),"positive",AND(TEST!E74="x",TEST!A74="x",TEST!I74="o"),"positive",AND(TEST!E74="x",TEST!A74="b",TEST!B74="x"),"positive",AND(TEST!E74="x",TEST!A74="b",TEST!B74="b"),"positive",AND(TEST!E74="x",TEST!A74="b",TEST!B74="o"),"positive",AND(TEST!E74="x",TEST!A74="o",TEST!G74="x"),"positive",AND(TEST!E74="x",TEST!A74="o",TEST!G74="b"),"positive",AND(TEST!E74="x",TEST!A74="o",TEST!G74="o"),"positive",AND(TEST!E74="b",TEST!C74="x",TEST!F74="x"),"positive",AND(TEST!E74="b",TEST!C74="x",TEST!F74="b"),"positive",AND(TEST!E74="b",TEST!C74="x",TEST!F74="o"),"positive",AND(TEST!E74="b",TEST!C74="b"),"positive",AND(TEST!E74="b",TEST!C74="o"),"positive",AND(TEST!E74="o",TEST!H74="x"),"negative",AND(TEST!E74="o",TEST!H74="b"),"positive",AND(TEST!E74="o",TEST!H74="o"),"negative")</f>
        <v>negative</v>
      </c>
      <c r="B305" s="12" t="str">
        <f>TEST!J74</f>
        <v>negative</v>
      </c>
    </row>
    <row r="306" spans="1:2" x14ac:dyDescent="0.3">
      <c r="A306" s="12" t="str" cm="1">
        <f t="array" ref="A306">_xlfn.IFS(AND(TEST!E75="x",TEST!A75="x",TEST!I75="x"),"positive",AND(TEST!E75="x",TEST!A75="x",TEST!I75="b"),"positive",AND(TEST!E75="x",TEST!A75="x",TEST!I75="o"),"positive",AND(TEST!E75="x",TEST!A75="b",TEST!B75="x"),"positive",AND(TEST!E75="x",TEST!A75="b",TEST!B75="b"),"positive",AND(TEST!E75="x",TEST!A75="b",TEST!B75="o"),"positive",AND(TEST!E75="x",TEST!A75="o",TEST!G75="x"),"positive",AND(TEST!E75="x",TEST!A75="o",TEST!G75="b"),"positive",AND(TEST!E75="x",TEST!A75="o",TEST!G75="o"),"positive",AND(TEST!E75="b",TEST!C75="x",TEST!F75="x"),"positive",AND(TEST!E75="b",TEST!C75="x",TEST!F75="b"),"positive",AND(TEST!E75="b",TEST!C75="x",TEST!F75="o"),"positive",AND(TEST!E75="b",TEST!C75="b"),"positive",AND(TEST!E75="b",TEST!C75="o"),"positive",AND(TEST!E75="o",TEST!H75="x"),"negative",AND(TEST!E75="o",TEST!H75="b"),"positive",AND(TEST!E75="o",TEST!H75="o"),"negative")</f>
        <v>positive</v>
      </c>
      <c r="B306" s="12" t="str">
        <f>TEST!J75</f>
        <v>negative</v>
      </c>
    </row>
    <row r="307" spans="1:2" x14ac:dyDescent="0.3">
      <c r="A307" s="12" t="str" cm="1">
        <f t="array" ref="A307">_xlfn.IFS(AND(TEST!E76="x",TEST!A76="x",TEST!I76="x"),"positive",AND(TEST!E76="x",TEST!A76="x",TEST!I76="b"),"positive",AND(TEST!E76="x",TEST!A76="x",TEST!I76="o"),"positive",AND(TEST!E76="x",TEST!A76="b",TEST!B76="x"),"positive",AND(TEST!E76="x",TEST!A76="b",TEST!B76="b"),"positive",AND(TEST!E76="x",TEST!A76="b",TEST!B76="o"),"positive",AND(TEST!E76="x",TEST!A76="o",TEST!G76="x"),"positive",AND(TEST!E76="x",TEST!A76="o",TEST!G76="b"),"positive",AND(TEST!E76="x",TEST!A76="o",TEST!G76="o"),"positive",AND(TEST!E76="b",TEST!C76="x",TEST!F76="x"),"positive",AND(TEST!E76="b",TEST!C76="x",TEST!F76="b"),"positive",AND(TEST!E76="b",TEST!C76="x",TEST!F76="o"),"positive",AND(TEST!E76="b",TEST!C76="b"),"positive",AND(TEST!E76="b",TEST!C76="o"),"positive",AND(TEST!E76="o",TEST!H76="x"),"negative",AND(TEST!E76="o",TEST!H76="b"),"positive",AND(TEST!E76="o",TEST!H76="o"),"negative")</f>
        <v>negative</v>
      </c>
      <c r="B307" s="12" t="str">
        <f>TEST!J76</f>
        <v>negative</v>
      </c>
    </row>
    <row r="308" spans="1:2" x14ac:dyDescent="0.3">
      <c r="A308" s="12" t="str" cm="1">
        <f t="array" ref="A308">_xlfn.IFS(AND(TEST!E77="x",TEST!A77="x",TEST!I77="x"),"positive",AND(TEST!E77="x",TEST!A77="x",TEST!I77="b"),"positive",AND(TEST!E77="x",TEST!A77="x",TEST!I77="o"),"positive",AND(TEST!E77="x",TEST!A77="b",TEST!B77="x"),"positive",AND(TEST!E77="x",TEST!A77="b",TEST!B77="b"),"positive",AND(TEST!E77="x",TEST!A77="b",TEST!B77="o"),"positive",AND(TEST!E77="x",TEST!A77="o",TEST!G77="x"),"positive",AND(TEST!E77="x",TEST!A77="o",TEST!G77="b"),"positive",AND(TEST!E77="x",TEST!A77="o",TEST!G77="o"),"positive",AND(TEST!E77="b",TEST!C77="x",TEST!F77="x"),"positive",AND(TEST!E77="b",TEST!C77="x",TEST!F77="b"),"positive",AND(TEST!E77="b",TEST!C77="x",TEST!F77="o"),"positive",AND(TEST!E77="b",TEST!C77="b"),"positive",AND(TEST!E77="b",TEST!C77="o"),"positive",AND(TEST!E77="o",TEST!H77="x"),"negative",AND(TEST!E77="o",TEST!H77="b"),"positive",AND(TEST!E77="o",TEST!H77="o"),"negative")</f>
        <v>negative</v>
      </c>
      <c r="B308" s="12" t="str">
        <f>TEST!J77</f>
        <v>negative</v>
      </c>
    </row>
    <row r="309" spans="1:2" x14ac:dyDescent="0.3">
      <c r="A309" s="12" t="str" cm="1">
        <f t="array" ref="A309">_xlfn.IFS(AND(TEST!E78="x",TEST!A78="x",TEST!I78="x"),"positive",AND(TEST!E78="x",TEST!A78="x",TEST!I78="b"),"positive",AND(TEST!E78="x",TEST!A78="x",TEST!I78="o"),"positive",AND(TEST!E78="x",TEST!A78="b",TEST!B78="x"),"positive",AND(TEST!E78="x",TEST!A78="b",TEST!B78="b"),"positive",AND(TEST!E78="x",TEST!A78="b",TEST!B78="o"),"positive",AND(TEST!E78="x",TEST!A78="o",TEST!G78="x"),"positive",AND(TEST!E78="x",TEST!A78="o",TEST!G78="b"),"positive",AND(TEST!E78="x",TEST!A78="o",TEST!G78="o"),"positive",AND(TEST!E78="b",TEST!C78="x",TEST!F78="x"),"positive",AND(TEST!E78="b",TEST!C78="x",TEST!F78="b"),"positive",AND(TEST!E78="b",TEST!C78="x",TEST!F78="o"),"positive",AND(TEST!E78="b",TEST!C78="b"),"positive",AND(TEST!E78="b",TEST!C78="o"),"positive",AND(TEST!E78="o",TEST!H78="x"),"negative",AND(TEST!E78="o",TEST!H78="b"),"positive",AND(TEST!E78="o",TEST!H78="o"),"negative")</f>
        <v>positive</v>
      </c>
      <c r="B309" s="12" t="str">
        <f>TEST!J78</f>
        <v>negative</v>
      </c>
    </row>
    <row r="310" spans="1:2" x14ac:dyDescent="0.3">
      <c r="A310" s="12" t="str" cm="1">
        <f t="array" ref="A310">_xlfn.IFS(AND(TEST!E79="x",TEST!A79="x",TEST!I79="x"),"positive",AND(TEST!E79="x",TEST!A79="x",TEST!I79="b"),"positive",AND(TEST!E79="x",TEST!A79="x",TEST!I79="o"),"positive",AND(TEST!E79="x",TEST!A79="b",TEST!B79="x"),"positive",AND(TEST!E79="x",TEST!A79="b",TEST!B79="b"),"positive",AND(TEST!E79="x",TEST!A79="b",TEST!B79="o"),"positive",AND(TEST!E79="x",TEST!A79="o",TEST!G79="x"),"positive",AND(TEST!E79="x",TEST!A79="o",TEST!G79="b"),"positive",AND(TEST!E79="x",TEST!A79="o",TEST!G79="o"),"positive",AND(TEST!E79="b",TEST!C79="x",TEST!F79="x"),"positive",AND(TEST!E79="b",TEST!C79="x",TEST!F79="b"),"positive",AND(TEST!E79="b",TEST!C79="x",TEST!F79="o"),"positive",AND(TEST!E79="b",TEST!C79="b"),"positive",AND(TEST!E79="b",TEST!C79="o"),"positive",AND(TEST!E79="o",TEST!H79="x"),"negative",AND(TEST!E79="o",TEST!H79="b"),"positive",AND(TEST!E79="o",TEST!H79="o"),"negative")</f>
        <v>negative</v>
      </c>
      <c r="B310" s="12" t="str">
        <f>TEST!J79</f>
        <v>negative</v>
      </c>
    </row>
    <row r="311" spans="1:2" x14ac:dyDescent="0.3">
      <c r="A311" s="12" t="str" cm="1">
        <f t="array" ref="A311">_xlfn.IFS(AND(TEST!E80="x",TEST!A80="x",TEST!I80="x"),"positive",AND(TEST!E80="x",TEST!A80="x",TEST!I80="b"),"positive",AND(TEST!E80="x",TEST!A80="x",TEST!I80="o"),"positive",AND(TEST!E80="x",TEST!A80="b",TEST!B80="x"),"positive",AND(TEST!E80="x",TEST!A80="b",TEST!B80="b"),"positive",AND(TEST!E80="x",TEST!A80="b",TEST!B80="o"),"positive",AND(TEST!E80="x",TEST!A80="o",TEST!G80="x"),"positive",AND(TEST!E80="x",TEST!A80="o",TEST!G80="b"),"positive",AND(TEST!E80="x",TEST!A80="o",TEST!G80="o"),"positive",AND(TEST!E80="b",TEST!C80="x",TEST!F80="x"),"positive",AND(TEST!E80="b",TEST!C80="x",TEST!F80="b"),"positive",AND(TEST!E80="b",TEST!C80="x",TEST!F80="o"),"positive",AND(TEST!E80="b",TEST!C80="b"),"positive",AND(TEST!E80="b",TEST!C80="o"),"positive",AND(TEST!E80="o",TEST!H80="x"),"negative",AND(TEST!E80="o",TEST!H80="b"),"positive",AND(TEST!E80="o",TEST!H80="o"),"negative")</f>
        <v>negative</v>
      </c>
      <c r="B311" s="12" t="str">
        <f>TEST!J80</f>
        <v>negative</v>
      </c>
    </row>
    <row r="312" spans="1:2" x14ac:dyDescent="0.3">
      <c r="A312" s="12" t="str" cm="1">
        <f t="array" ref="A312">_xlfn.IFS(AND(TEST!E81="x",TEST!A81="x",TEST!I81="x"),"positive",AND(TEST!E81="x",TEST!A81="x",TEST!I81="b"),"positive",AND(TEST!E81="x",TEST!A81="x",TEST!I81="o"),"positive",AND(TEST!E81="x",TEST!A81="b",TEST!B81="x"),"positive",AND(TEST!E81="x",TEST!A81="b",TEST!B81="b"),"positive",AND(TEST!E81="x",TEST!A81="b",TEST!B81="o"),"positive",AND(TEST!E81="x",TEST!A81="o",TEST!G81="x"),"positive",AND(TEST!E81="x",TEST!A81="o",TEST!G81="b"),"positive",AND(TEST!E81="x",TEST!A81="o",TEST!G81="o"),"positive",AND(TEST!E81="b",TEST!C81="x",TEST!F81="x"),"positive",AND(TEST!E81="b",TEST!C81="x",TEST!F81="b"),"positive",AND(TEST!E81="b",TEST!C81="x",TEST!F81="o"),"positive",AND(TEST!E81="b",TEST!C81="b"),"positive",AND(TEST!E81="b",TEST!C81="o"),"positive",AND(TEST!E81="o",TEST!H81="x"),"negative",AND(TEST!E81="o",TEST!H81="b"),"positive",AND(TEST!E81="o",TEST!H81="o"),"negative")</f>
        <v>positive</v>
      </c>
      <c r="B312" s="12" t="str">
        <f>TEST!J81</f>
        <v>negative</v>
      </c>
    </row>
    <row r="313" spans="1:2" x14ac:dyDescent="0.3">
      <c r="A313" s="12" t="str" cm="1">
        <f t="array" ref="A313">_xlfn.IFS(AND(TEST!E82="x",TEST!A82="x",TEST!I82="x"),"positive",AND(TEST!E82="x",TEST!A82="x",TEST!I82="b"),"positive",AND(TEST!E82="x",TEST!A82="x",TEST!I82="o"),"positive",AND(TEST!E82="x",TEST!A82="b",TEST!B82="x"),"positive",AND(TEST!E82="x",TEST!A82="b",TEST!B82="b"),"positive",AND(TEST!E82="x",TEST!A82="b",TEST!B82="o"),"positive",AND(TEST!E82="x",TEST!A82="o",TEST!G82="x"),"positive",AND(TEST!E82="x",TEST!A82="o",TEST!G82="b"),"positive",AND(TEST!E82="x",TEST!A82="o",TEST!G82="o"),"positive",AND(TEST!E82="b",TEST!C82="x",TEST!F82="x"),"positive",AND(TEST!E82="b",TEST!C82="x",TEST!F82="b"),"positive",AND(TEST!E82="b",TEST!C82="x",TEST!F82="o"),"positive",AND(TEST!E82="b",TEST!C82="b"),"positive",AND(TEST!E82="b",TEST!C82="o"),"positive",AND(TEST!E82="o",TEST!H82="x"),"negative",AND(TEST!E82="o",TEST!H82="b"),"positive",AND(TEST!E82="o",TEST!H82="o"),"negative")</f>
        <v>positive</v>
      </c>
      <c r="B313" s="12" t="str">
        <f>TEST!J82</f>
        <v>negative</v>
      </c>
    </row>
    <row r="314" spans="1:2" x14ac:dyDescent="0.3">
      <c r="A314" s="12" t="str" cm="1">
        <f t="array" ref="A314">_xlfn.IFS(AND(TEST!E83="x",TEST!A83="x",TEST!I83="x"),"positive",AND(TEST!E83="x",TEST!A83="x",TEST!I83="b"),"positive",AND(TEST!E83="x",TEST!A83="x",TEST!I83="o"),"positive",AND(TEST!E83="x",TEST!A83="b",TEST!B83="x"),"positive",AND(TEST!E83="x",TEST!A83="b",TEST!B83="b"),"positive",AND(TEST!E83="x",TEST!A83="b",TEST!B83="o"),"positive",AND(TEST!E83="x",TEST!A83="o",TEST!G83="x"),"positive",AND(TEST!E83="x",TEST!A83="o",TEST!G83="b"),"positive",AND(TEST!E83="x",TEST!A83="o",TEST!G83="o"),"positive",AND(TEST!E83="b",TEST!C83="x",TEST!F83="x"),"positive",AND(TEST!E83="b",TEST!C83="x",TEST!F83="b"),"positive",AND(TEST!E83="b",TEST!C83="x",TEST!F83="o"),"positive",AND(TEST!E83="b",TEST!C83="b"),"positive",AND(TEST!E83="b",TEST!C83="o"),"positive",AND(TEST!E83="o",TEST!H83="x"),"negative",AND(TEST!E83="o",TEST!H83="b"),"positive",AND(TEST!E83="o",TEST!H83="o"),"negative")</f>
        <v>positive</v>
      </c>
      <c r="B314" s="12" t="str">
        <f>TEST!J83</f>
        <v>negative</v>
      </c>
    </row>
    <row r="315" spans="1:2" x14ac:dyDescent="0.3">
      <c r="A315" s="12" t="str" cm="1">
        <f t="array" ref="A315">_xlfn.IFS(AND(TEST!E84="x",TEST!A84="x",TEST!I84="x"),"positive",AND(TEST!E84="x",TEST!A84="x",TEST!I84="b"),"positive",AND(TEST!E84="x",TEST!A84="x",TEST!I84="o"),"positive",AND(TEST!E84="x",TEST!A84="b",TEST!B84="x"),"positive",AND(TEST!E84="x",TEST!A84="b",TEST!B84="b"),"positive",AND(TEST!E84="x",TEST!A84="b",TEST!B84="o"),"positive",AND(TEST!E84="x",TEST!A84="o",TEST!G84="x"),"positive",AND(TEST!E84="x",TEST!A84="o",TEST!G84="b"),"positive",AND(TEST!E84="x",TEST!A84="o",TEST!G84="o"),"positive",AND(TEST!E84="b",TEST!C84="x",TEST!F84="x"),"positive",AND(TEST!E84="b",TEST!C84="x",TEST!F84="b"),"positive",AND(TEST!E84="b",TEST!C84="x",TEST!F84="o"),"positive",AND(TEST!E84="b",TEST!C84="b"),"positive",AND(TEST!E84="b",TEST!C84="o"),"positive",AND(TEST!E84="o",TEST!H84="x"),"negative",AND(TEST!E84="o",TEST!H84="b"),"positive",AND(TEST!E84="o",TEST!H84="o"),"negative")</f>
        <v>positive</v>
      </c>
      <c r="B315" s="12" t="str">
        <f>TEST!J84</f>
        <v>negative</v>
      </c>
    </row>
    <row r="316" spans="1:2" x14ac:dyDescent="0.3">
      <c r="A316" s="12" t="str" cm="1">
        <f t="array" ref="A316">_xlfn.IFS(AND(TEST!E85="x",TEST!A85="x",TEST!I85="x"),"positive",AND(TEST!E85="x",TEST!A85="x",TEST!I85="b"),"positive",AND(TEST!E85="x",TEST!A85="x",TEST!I85="o"),"positive",AND(TEST!E85="x",TEST!A85="b",TEST!B85="x"),"positive",AND(TEST!E85="x",TEST!A85="b",TEST!B85="b"),"positive",AND(TEST!E85="x",TEST!A85="b",TEST!B85="o"),"positive",AND(TEST!E85="x",TEST!A85="o",TEST!G85="x"),"positive",AND(TEST!E85="x",TEST!A85="o",TEST!G85="b"),"positive",AND(TEST!E85="x",TEST!A85="o",TEST!G85="o"),"positive",AND(TEST!E85="b",TEST!C85="x",TEST!F85="x"),"positive",AND(TEST!E85="b",TEST!C85="x",TEST!F85="b"),"positive",AND(TEST!E85="b",TEST!C85="x",TEST!F85="o"),"positive",AND(TEST!E85="b",TEST!C85="b"),"positive",AND(TEST!E85="b",TEST!C85="o"),"positive",AND(TEST!E85="o",TEST!H85="x"),"negative",AND(TEST!E85="o",TEST!H85="b"),"positive",AND(TEST!E85="o",TEST!H85="o"),"negative")</f>
        <v>positive</v>
      </c>
      <c r="B316" s="12" t="str">
        <f>TEST!J85</f>
        <v>negative</v>
      </c>
    </row>
    <row r="317" spans="1:2" x14ac:dyDescent="0.3">
      <c r="A317" s="12" t="str" cm="1">
        <f t="array" ref="A317">_xlfn.IFS(AND(TEST!E86="x",TEST!A86="x",TEST!I86="x"),"positive",AND(TEST!E86="x",TEST!A86="x",TEST!I86="b"),"positive",AND(TEST!E86="x",TEST!A86="x",TEST!I86="o"),"positive",AND(TEST!E86="x",TEST!A86="b",TEST!B86="x"),"positive",AND(TEST!E86="x",TEST!A86="b",TEST!B86="b"),"positive",AND(TEST!E86="x",TEST!A86="b",TEST!B86="o"),"positive",AND(TEST!E86="x",TEST!A86="o",TEST!G86="x"),"positive",AND(TEST!E86="x",TEST!A86="o",TEST!G86="b"),"positive",AND(TEST!E86="x",TEST!A86="o",TEST!G86="o"),"positive",AND(TEST!E86="b",TEST!C86="x",TEST!F86="x"),"positive",AND(TEST!E86="b",TEST!C86="x",TEST!F86="b"),"positive",AND(TEST!E86="b",TEST!C86="x",TEST!F86="o"),"positive",AND(TEST!E86="b",TEST!C86="b"),"positive",AND(TEST!E86="b",TEST!C86="o"),"positive",AND(TEST!E86="o",TEST!H86="x"),"negative",AND(TEST!E86="o",TEST!H86="b"),"positive",AND(TEST!E86="o",TEST!H86="o"),"negative")</f>
        <v>positive</v>
      </c>
      <c r="B317" s="12" t="str">
        <f>TEST!J86</f>
        <v>negative</v>
      </c>
    </row>
    <row r="318" spans="1:2" x14ac:dyDescent="0.3">
      <c r="A318" s="12" t="str" cm="1">
        <f t="array" ref="A318">_xlfn.IFS(AND(TEST!E87="x",TEST!A87="x",TEST!I87="x"),"positive",AND(TEST!E87="x",TEST!A87="x",TEST!I87="b"),"positive",AND(TEST!E87="x",TEST!A87="x",TEST!I87="o"),"positive",AND(TEST!E87="x",TEST!A87="b",TEST!B87="x"),"positive",AND(TEST!E87="x",TEST!A87="b",TEST!B87="b"),"positive",AND(TEST!E87="x",TEST!A87="b",TEST!B87="o"),"positive",AND(TEST!E87="x",TEST!A87="o",TEST!G87="x"),"positive",AND(TEST!E87="x",TEST!A87="o",TEST!G87="b"),"positive",AND(TEST!E87="x",TEST!A87="o",TEST!G87="o"),"positive",AND(TEST!E87="b",TEST!C87="x",TEST!F87="x"),"positive",AND(TEST!E87="b",TEST!C87="x",TEST!F87="b"),"positive",AND(TEST!E87="b",TEST!C87="x",TEST!F87="o"),"positive",AND(TEST!E87="b",TEST!C87="b"),"positive",AND(TEST!E87="b",TEST!C87="o"),"positive",AND(TEST!E87="o",TEST!H87="x"),"negative",AND(TEST!E87="o",TEST!H87="b"),"positive",AND(TEST!E87="o",TEST!H87="o"),"negative")</f>
        <v>negative</v>
      </c>
      <c r="B318" s="12" t="str">
        <f>TEST!J87</f>
        <v>negative</v>
      </c>
    </row>
    <row r="319" spans="1:2" x14ac:dyDescent="0.3">
      <c r="A319" s="12" t="str" cm="1">
        <f t="array" ref="A319">_xlfn.IFS(AND(TEST!E88="x",TEST!A88="x",TEST!I88="x"),"positive",AND(TEST!E88="x",TEST!A88="x",TEST!I88="b"),"positive",AND(TEST!E88="x",TEST!A88="x",TEST!I88="o"),"positive",AND(TEST!E88="x",TEST!A88="b",TEST!B88="x"),"positive",AND(TEST!E88="x",TEST!A88="b",TEST!B88="b"),"positive",AND(TEST!E88="x",TEST!A88="b",TEST!B88="o"),"positive",AND(TEST!E88="x",TEST!A88="o",TEST!G88="x"),"positive",AND(TEST!E88="x",TEST!A88="o",TEST!G88="b"),"positive",AND(TEST!E88="x",TEST!A88="o",TEST!G88="o"),"positive",AND(TEST!E88="b",TEST!C88="x",TEST!F88="x"),"positive",AND(TEST!E88="b",TEST!C88="x",TEST!F88="b"),"positive",AND(TEST!E88="b",TEST!C88="x",TEST!F88="o"),"positive",AND(TEST!E88="b",TEST!C88="b"),"positive",AND(TEST!E88="b",TEST!C88="o"),"positive",AND(TEST!E88="o",TEST!H88="x"),"negative",AND(TEST!E88="o",TEST!H88="b"),"positive",AND(TEST!E88="o",TEST!H88="o"),"negative")</f>
        <v>negative</v>
      </c>
      <c r="B319" s="12" t="str">
        <f>TEST!J88</f>
        <v>negative</v>
      </c>
    </row>
    <row r="320" spans="1:2" x14ac:dyDescent="0.3">
      <c r="A320" s="12" t="str" cm="1">
        <f t="array" ref="A320">_xlfn.IFS(AND(TEST!E89="x",TEST!A89="x",TEST!I89="x"),"positive",AND(TEST!E89="x",TEST!A89="x",TEST!I89="b"),"positive",AND(TEST!E89="x",TEST!A89="x",TEST!I89="o"),"positive",AND(TEST!E89="x",TEST!A89="b",TEST!B89="x"),"positive",AND(TEST!E89="x",TEST!A89="b",TEST!B89="b"),"positive",AND(TEST!E89="x",TEST!A89="b",TEST!B89="o"),"positive",AND(TEST!E89="x",TEST!A89="o",TEST!G89="x"),"positive",AND(TEST!E89="x",TEST!A89="o",TEST!G89="b"),"positive",AND(TEST!E89="x",TEST!A89="o",TEST!G89="o"),"positive",AND(TEST!E89="b",TEST!C89="x",TEST!F89="x"),"positive",AND(TEST!E89="b",TEST!C89="x",TEST!F89="b"),"positive",AND(TEST!E89="b",TEST!C89="x",TEST!F89="o"),"positive",AND(TEST!E89="b",TEST!C89="b"),"positive",AND(TEST!E89="b",TEST!C89="o"),"positive",AND(TEST!E89="o",TEST!H89="x"),"negative",AND(TEST!E89="o",TEST!H89="b"),"positive",AND(TEST!E89="o",TEST!H89="o"),"negative")</f>
        <v>positive</v>
      </c>
      <c r="B320" s="12" t="str">
        <f>TEST!J89</f>
        <v>negative</v>
      </c>
    </row>
    <row r="321" spans="1:8" x14ac:dyDescent="0.3">
      <c r="A321" s="12" t="str" cm="1">
        <f t="array" ref="A321">_xlfn.IFS(AND(TEST!E90="x",TEST!A90="x",TEST!I90="x"),"positive",AND(TEST!E90="x",TEST!A90="x",TEST!I90="b"),"positive",AND(TEST!E90="x",TEST!A90="x",TEST!I90="o"),"positive",AND(TEST!E90="x",TEST!A90="b",TEST!B90="x"),"positive",AND(TEST!E90="x",TEST!A90="b",TEST!B90="b"),"positive",AND(TEST!E90="x",TEST!A90="b",TEST!B90="o"),"positive",AND(TEST!E90="x",TEST!A90="o",TEST!G90="x"),"positive",AND(TEST!E90="x",TEST!A90="o",TEST!G90="b"),"positive",AND(TEST!E90="x",TEST!A90="o",TEST!G90="o"),"positive",AND(TEST!E90="b",TEST!C90="x",TEST!F90="x"),"positive",AND(TEST!E90="b",TEST!C90="x",TEST!F90="b"),"positive",AND(TEST!E90="b",TEST!C90="x",TEST!F90="o"),"positive",AND(TEST!E90="b",TEST!C90="b"),"positive",AND(TEST!E90="b",TEST!C90="o"),"positive",AND(TEST!E90="o",TEST!H90="x"),"negative",AND(TEST!E90="o",TEST!H90="b"),"positive",AND(TEST!E90="o",TEST!H90="o"),"negative")</f>
        <v>negative</v>
      </c>
      <c r="B321" s="12" t="str">
        <f>TEST!J90</f>
        <v>negative</v>
      </c>
    </row>
    <row r="322" spans="1:8" x14ac:dyDescent="0.3">
      <c r="A322" s="12" t="str" cm="1">
        <f t="array" ref="A322">_xlfn.IFS(AND(TEST!E91="x",TEST!A91="x",TEST!I91="x"),"positive",AND(TEST!E91="x",TEST!A91="x",TEST!I91="b"),"positive",AND(TEST!E91="x",TEST!A91="x",TEST!I91="o"),"positive",AND(TEST!E91="x",TEST!A91="b",TEST!B91="x"),"positive",AND(TEST!E91="x",TEST!A91="b",TEST!B91="b"),"positive",AND(TEST!E91="x",TEST!A91="b",TEST!B91="o"),"positive",AND(TEST!E91="x",TEST!A91="o",TEST!G91="x"),"positive",AND(TEST!E91="x",TEST!A91="o",TEST!G91="b"),"positive",AND(TEST!E91="x",TEST!A91="o",TEST!G91="o"),"positive",AND(TEST!E91="b",TEST!C91="x",TEST!F91="x"),"positive",AND(TEST!E91="b",TEST!C91="x",TEST!F91="b"),"positive",AND(TEST!E91="b",TEST!C91="x",TEST!F91="o"),"positive",AND(TEST!E91="b",TEST!C91="b"),"positive",AND(TEST!E91="b",TEST!C91="o"),"positive",AND(TEST!E91="o",TEST!H91="x"),"negative",AND(TEST!E91="o",TEST!H91="b"),"positive",AND(TEST!E91="o",TEST!H91="o"),"negative")</f>
        <v>positive</v>
      </c>
      <c r="B322" s="12" t="str">
        <f>TEST!J91</f>
        <v>negative</v>
      </c>
    </row>
    <row r="323" spans="1:8" x14ac:dyDescent="0.3">
      <c r="A323" s="12" t="str" cm="1">
        <f t="array" ref="A323">_xlfn.IFS(AND(TEST!E92="x",TEST!A92="x",TEST!I92="x"),"positive",AND(TEST!E92="x",TEST!A92="x",TEST!I92="b"),"positive",AND(TEST!E92="x",TEST!A92="x",TEST!I92="o"),"positive",AND(TEST!E92="x",TEST!A92="b",TEST!B92="x"),"positive",AND(TEST!E92="x",TEST!A92="b",TEST!B92="b"),"positive",AND(TEST!E92="x",TEST!A92="b",TEST!B92="o"),"positive",AND(TEST!E92="x",TEST!A92="o",TEST!G92="x"),"positive",AND(TEST!E92="x",TEST!A92="o",TEST!G92="b"),"positive",AND(TEST!E92="x",TEST!A92="o",TEST!G92="o"),"positive",AND(TEST!E92="b",TEST!C92="x",TEST!F92="x"),"positive",AND(TEST!E92="b",TEST!C92="x",TEST!F92="b"),"positive",AND(TEST!E92="b",TEST!C92="x",TEST!F92="o"),"positive",AND(TEST!E92="b",TEST!C92="b"),"positive",AND(TEST!E92="b",TEST!C92="o"),"positive",AND(TEST!E92="o",TEST!H92="x"),"negative",AND(TEST!E92="o",TEST!H92="b"),"positive",AND(TEST!E92="o",TEST!H92="o"),"negative")</f>
        <v>positive</v>
      </c>
      <c r="B323" s="12" t="str">
        <f>TEST!J92</f>
        <v>positive</v>
      </c>
    </row>
    <row r="324" spans="1:8" x14ac:dyDescent="0.3">
      <c r="A324" s="12" t="str" cm="1">
        <f t="array" ref="A324">_xlfn.IFS(AND(TEST!E93="x",TEST!A93="x",TEST!I93="x"),"positive",AND(TEST!E93="x",TEST!A93="x",TEST!I93="b"),"positive",AND(TEST!E93="x",TEST!A93="x",TEST!I93="o"),"positive",AND(TEST!E93="x",TEST!A93="b",TEST!B93="x"),"positive",AND(TEST!E93="x",TEST!A93="b",TEST!B93="b"),"positive",AND(TEST!E93="x",TEST!A93="b",TEST!B93="o"),"positive",AND(TEST!E93="x",TEST!A93="o",TEST!G93="x"),"positive",AND(TEST!E93="x",TEST!A93="o",TEST!G93="b"),"positive",AND(TEST!E93="x",TEST!A93="o",TEST!G93="o"),"positive",AND(TEST!E93="b",TEST!C93="x",TEST!F93="x"),"positive",AND(TEST!E93="b",TEST!C93="x",TEST!F93="b"),"positive",AND(TEST!E93="b",TEST!C93="x",TEST!F93="o"),"positive",AND(TEST!E93="b",TEST!C93="b"),"positive",AND(TEST!E93="b",TEST!C93="o"),"positive",AND(TEST!E93="o",TEST!H93="x"),"negative",AND(TEST!E93="o",TEST!H93="b"),"positive",AND(TEST!E93="o",TEST!H93="o"),"negative")</f>
        <v>positive</v>
      </c>
      <c r="B324" s="12" t="str">
        <f>TEST!J93</f>
        <v>positive</v>
      </c>
    </row>
    <row r="325" spans="1:8" x14ac:dyDescent="0.3">
      <c r="A325" s="12" t="str" cm="1">
        <f t="array" ref="A325">_xlfn.IFS(AND(TEST!E94="x",TEST!A94="x",TEST!I94="x"),"positive",AND(TEST!E94="x",TEST!A94="x",TEST!I94="b"),"positive",AND(TEST!E94="x",TEST!A94="x",TEST!I94="o"),"positive",AND(TEST!E94="x",TEST!A94="b",TEST!B94="x"),"positive",AND(TEST!E94="x",TEST!A94="b",TEST!B94="b"),"positive",AND(TEST!E94="x",TEST!A94="b",TEST!B94="o"),"positive",AND(TEST!E94="x",TEST!A94="o",TEST!G94="x"),"positive",AND(TEST!E94="x",TEST!A94="o",TEST!G94="b"),"positive",AND(TEST!E94="x",TEST!A94="o",TEST!G94="o"),"positive",AND(TEST!E94="b",TEST!C94="x",TEST!F94="x"),"positive",AND(TEST!E94="b",TEST!C94="x",TEST!F94="b"),"positive",AND(TEST!E94="b",TEST!C94="x",TEST!F94="o"),"positive",AND(TEST!E94="b",TEST!C94="b"),"positive",AND(TEST!E94="b",TEST!C94="o"),"positive",AND(TEST!E94="o",TEST!H94="x"),"negative",AND(TEST!E94="o",TEST!H94="b"),"positive",AND(TEST!E94="o",TEST!H94="o"),"negative")</f>
        <v>positive</v>
      </c>
      <c r="B325" s="12" t="str">
        <f>TEST!J94</f>
        <v>positive</v>
      </c>
    </row>
    <row r="326" spans="1:8" x14ac:dyDescent="0.3">
      <c r="A326" s="12" t="str" cm="1">
        <f t="array" ref="A326">_xlfn.IFS(AND(TEST!E95="x",TEST!A95="x",TEST!I95="x"),"positive",AND(TEST!E95="x",TEST!A95="x",TEST!I95="b"),"positive",AND(TEST!E95="x",TEST!A95="x",TEST!I95="o"),"positive",AND(TEST!E95="x",TEST!A95="b",TEST!B95="x"),"positive",AND(TEST!E95="x",TEST!A95="b",TEST!B95="b"),"positive",AND(TEST!E95="x",TEST!A95="b",TEST!B95="o"),"positive",AND(TEST!E95="x",TEST!A95="o",TEST!G95="x"),"positive",AND(TEST!E95="x",TEST!A95="o",TEST!G95="b"),"positive",AND(TEST!E95="x",TEST!A95="o",TEST!G95="o"),"positive",AND(TEST!E95="b",TEST!C95="x",TEST!F95="x"),"positive",AND(TEST!E95="b",TEST!C95="x",TEST!F95="b"),"positive",AND(TEST!E95="b",TEST!C95="x",TEST!F95="o"),"positive",AND(TEST!E95="b",TEST!C95="b"),"positive",AND(TEST!E95="b",TEST!C95="o"),"positive",AND(TEST!E95="o",TEST!H95="x"),"negative",AND(TEST!E95="o",TEST!H95="b"),"positive",AND(TEST!E95="o",TEST!H95="o"),"negative")</f>
        <v>positive</v>
      </c>
      <c r="B326" s="12" t="str">
        <f>TEST!J95</f>
        <v>positive</v>
      </c>
    </row>
    <row r="327" spans="1:8" x14ac:dyDescent="0.3">
      <c r="A327" s="12" t="str" cm="1">
        <f t="array" ref="A327">_xlfn.IFS(AND(TEST!E96="x",TEST!A96="x",TEST!I96="x"),"positive",AND(TEST!E96="x",TEST!A96="x",TEST!I96="b"),"positive",AND(TEST!E96="x",TEST!A96="x",TEST!I96="o"),"positive",AND(TEST!E96="x",TEST!A96="b",TEST!B96="x"),"positive",AND(TEST!E96="x",TEST!A96="b",TEST!B96="b"),"positive",AND(TEST!E96="x",TEST!A96="b",TEST!B96="o"),"positive",AND(TEST!E96="x",TEST!A96="o",TEST!G96="x"),"positive",AND(TEST!E96="x",TEST!A96="o",TEST!G96="b"),"positive",AND(TEST!E96="x",TEST!A96="o",TEST!G96="o"),"positive",AND(TEST!E96="b",TEST!C96="x",TEST!F96="x"),"positive",AND(TEST!E96="b",TEST!C96="x",TEST!F96="b"),"positive",AND(TEST!E96="b",TEST!C96="x",TEST!F96="o"),"positive",AND(TEST!E96="b",TEST!C96="b"),"positive",AND(TEST!E96="b",TEST!C96="o"),"positive",AND(TEST!E96="o",TEST!H96="x"),"negative",AND(TEST!E96="o",TEST!H96="b"),"positive",AND(TEST!E96="o",TEST!H96="o"),"negative")</f>
        <v>positive</v>
      </c>
      <c r="B327" s="12" t="str">
        <f>TEST!J96</f>
        <v>positive</v>
      </c>
      <c r="C327" s="9"/>
      <c r="D327" s="9"/>
      <c r="E327" s="9"/>
      <c r="F327" s="9"/>
      <c r="G327" s="9"/>
      <c r="H327" s="9"/>
    </row>
    <row r="328" spans="1:8" x14ac:dyDescent="0.3">
      <c r="A328" s="12" t="str" cm="1">
        <f t="array" ref="A328">_xlfn.IFS(AND(TEST!E97="x",TEST!A97="x",TEST!I97="x"),"positive",AND(TEST!E97="x",TEST!A97="x",TEST!I97="b"),"positive",AND(TEST!E97="x",TEST!A97="x",TEST!I97="o"),"positive",AND(TEST!E97="x",TEST!A97="b",TEST!B97="x"),"positive",AND(TEST!E97="x",TEST!A97="b",TEST!B97="b"),"positive",AND(TEST!E97="x",TEST!A97="b",TEST!B97="o"),"positive",AND(TEST!E97="x",TEST!A97="o",TEST!G97="x"),"positive",AND(TEST!E97="x",TEST!A97="o",TEST!G97="b"),"positive",AND(TEST!E97="x",TEST!A97="o",TEST!G97="o"),"positive",AND(TEST!E97="b",TEST!C97="x",TEST!F97="x"),"positive",AND(TEST!E97="b",TEST!C97="x",TEST!F97="b"),"positive",AND(TEST!E97="b",TEST!C97="x",TEST!F97="o"),"positive",AND(TEST!E97="b",TEST!C97="b"),"positive",AND(TEST!E97="b",TEST!C97="o"),"positive",AND(TEST!E97="o",TEST!H97="x"),"negative",AND(TEST!E97="o",TEST!H97="b"),"positive",AND(TEST!E97="o",TEST!H97="o"),"negative")</f>
        <v>positive</v>
      </c>
      <c r="B328" s="12" t="str">
        <f>TEST!J97</f>
        <v>positive</v>
      </c>
    </row>
    <row r="329" spans="1:8" x14ac:dyDescent="0.3">
      <c r="A329" s="12" t="str" cm="1">
        <f t="array" ref="A329">_xlfn.IFS(AND(TEST!E98="x",TEST!A98="x",TEST!I98="x"),"positive",AND(TEST!E98="x",TEST!A98="x",TEST!I98="b"),"positive",AND(TEST!E98="x",TEST!A98="x",TEST!I98="o"),"positive",AND(TEST!E98="x",TEST!A98="b",TEST!B98="x"),"positive",AND(TEST!E98="x",TEST!A98="b",TEST!B98="b"),"positive",AND(TEST!E98="x",TEST!A98="b",TEST!B98="o"),"positive",AND(TEST!E98="x",TEST!A98="o",TEST!G98="x"),"positive",AND(TEST!E98="x",TEST!A98="o",TEST!G98="b"),"positive",AND(TEST!E98="x",TEST!A98="o",TEST!G98="o"),"positive",AND(TEST!E98="b",TEST!C98="x",TEST!F98="x"),"positive",AND(TEST!E98="b",TEST!C98="x",TEST!F98="b"),"positive",AND(TEST!E98="b",TEST!C98="x",TEST!F98="o"),"positive",AND(TEST!E98="b",TEST!C98="b"),"positive",AND(TEST!E98="b",TEST!C98="o"),"positive",AND(TEST!E98="o",TEST!H98="x"),"negative",AND(TEST!E98="o",TEST!H98="b"),"positive",AND(TEST!E98="o",TEST!H98="o"),"negative")</f>
        <v>negative</v>
      </c>
      <c r="B329" s="12" t="str">
        <f>TEST!J98</f>
        <v>positive</v>
      </c>
    </row>
    <row r="330" spans="1:8" x14ac:dyDescent="0.3">
      <c r="A330" s="12" t="str" cm="1">
        <f t="array" ref="A330">_xlfn.IFS(AND(TEST!E99="x",TEST!A99="x",TEST!I99="x"),"positive",AND(TEST!E99="x",TEST!A99="x",TEST!I99="b"),"positive",AND(TEST!E99="x",TEST!A99="x",TEST!I99="o"),"positive",AND(TEST!E99="x",TEST!A99="b",TEST!B99="x"),"positive",AND(TEST!E99="x",TEST!A99="b",TEST!B99="b"),"positive",AND(TEST!E99="x",TEST!A99="b",TEST!B99="o"),"positive",AND(TEST!E99="x",TEST!A99="o",TEST!G99="x"),"positive",AND(TEST!E99="x",TEST!A99="o",TEST!G99="b"),"positive",AND(TEST!E99="x",TEST!A99="o",TEST!G99="o"),"positive",AND(TEST!E99="b",TEST!C99="x",TEST!F99="x"),"positive",AND(TEST!E99="b",TEST!C99="x",TEST!F99="b"),"positive",AND(TEST!E99="b",TEST!C99="x",TEST!F99="o"),"positive",AND(TEST!E99="b",TEST!C99="b"),"positive",AND(TEST!E99="b",TEST!C99="o"),"positive",AND(TEST!E99="o",TEST!H99="x"),"negative",AND(TEST!E99="o",TEST!H99="b"),"positive",AND(TEST!E99="o",TEST!H99="o"),"negative")</f>
        <v>negative</v>
      </c>
      <c r="B330" s="12" t="str">
        <f>TEST!J99</f>
        <v>positive</v>
      </c>
    </row>
    <row r="331" spans="1:8" x14ac:dyDescent="0.3">
      <c r="A331" s="12" t="str" cm="1">
        <f t="array" ref="A331">_xlfn.IFS(AND(TEST!E100="x",TEST!A100="x",TEST!I100="x"),"positive",AND(TEST!E100="x",TEST!A100="x",TEST!I100="b"),"positive",AND(TEST!E100="x",TEST!A100="x",TEST!I100="o"),"positive",AND(TEST!E100="x",TEST!A100="b",TEST!B100="x"),"positive",AND(TEST!E100="x",TEST!A100="b",TEST!B100="b"),"positive",AND(TEST!E100="x",TEST!A100="b",TEST!B100="o"),"positive",AND(TEST!E100="x",TEST!A100="o",TEST!G100="x"),"positive",AND(TEST!E100="x",TEST!A100="o",TEST!G100="b"),"positive",AND(TEST!E100="x",TEST!A100="o",TEST!G100="o"),"positive",AND(TEST!E100="b",TEST!C100="x",TEST!F100="x"),"positive",AND(TEST!E100="b",TEST!C100="x",TEST!F100="b"),"positive",AND(TEST!E100="b",TEST!C100="x",TEST!F100="o"),"positive",AND(TEST!E100="b",TEST!C100="b"),"positive",AND(TEST!E100="b",TEST!C100="o"),"positive",AND(TEST!E100="o",TEST!H100="x"),"negative",AND(TEST!E100="o",TEST!H100="b"),"positive",AND(TEST!E100="o",TEST!H100="o"),"negative")</f>
        <v>positive</v>
      </c>
      <c r="B331" s="12" t="str">
        <f>TEST!J100</f>
        <v>positive</v>
      </c>
    </row>
    <row r="332" spans="1:8" x14ac:dyDescent="0.3">
      <c r="A332" s="12" t="str" cm="1">
        <f t="array" ref="A332">_xlfn.IFS(AND(TEST!E101="x",TEST!A101="x",TEST!I101="x"),"positive",AND(TEST!E101="x",TEST!A101="x",TEST!I101="b"),"positive",AND(TEST!E101="x",TEST!A101="x",TEST!I101="o"),"positive",AND(TEST!E101="x",TEST!A101="b",TEST!B101="x"),"positive",AND(TEST!E101="x",TEST!A101="b",TEST!B101="b"),"positive",AND(TEST!E101="x",TEST!A101="b",TEST!B101="o"),"positive",AND(TEST!E101="x",TEST!A101="o",TEST!G101="x"),"positive",AND(TEST!E101="x",TEST!A101="o",TEST!G101="b"),"positive",AND(TEST!E101="x",TEST!A101="o",TEST!G101="o"),"positive",AND(TEST!E101="b",TEST!C101="x",TEST!F101="x"),"positive",AND(TEST!E101="b",TEST!C101="x",TEST!F101="b"),"positive",AND(TEST!E101="b",TEST!C101="x",TEST!F101="o"),"positive",AND(TEST!E101="b",TEST!C101="b"),"positive",AND(TEST!E101="b",TEST!C101="o"),"positive",AND(TEST!E101="o",TEST!H101="x"),"negative",AND(TEST!E101="o",TEST!H101="b"),"positive",AND(TEST!E101="o",TEST!H101="o"),"negative")</f>
        <v>positive</v>
      </c>
      <c r="B332" s="12" t="str">
        <f>TEST!J101</f>
        <v>positive</v>
      </c>
    </row>
    <row r="335" spans="1:8" x14ac:dyDescent="0.3">
      <c r="A335" s="8"/>
    </row>
    <row r="337" spans="1:2" x14ac:dyDescent="0.3">
      <c r="A337" s="8"/>
    </row>
    <row r="338" spans="1:2" x14ac:dyDescent="0.3">
      <c r="A338" s="8"/>
    </row>
    <row r="339" spans="1:2" x14ac:dyDescent="0.3">
      <c r="A339" s="8"/>
    </row>
    <row r="340" spans="1:2" x14ac:dyDescent="0.3">
      <c r="A340" s="8"/>
    </row>
    <row r="341" spans="1:2" x14ac:dyDescent="0.3">
      <c r="A341" s="8"/>
    </row>
    <row r="342" spans="1:2" x14ac:dyDescent="0.3">
      <c r="A342" s="8"/>
    </row>
    <row r="343" spans="1:2" x14ac:dyDescent="0.3">
      <c r="A343" s="8"/>
    </row>
    <row r="345" spans="1:2" x14ac:dyDescent="0.3">
      <c r="A345" s="8"/>
    </row>
    <row r="346" spans="1:2" x14ac:dyDescent="0.3">
      <c r="A346" s="8"/>
    </row>
    <row r="347" spans="1:2" x14ac:dyDescent="0.3">
      <c r="A347" s="8"/>
    </row>
    <row r="351" spans="1:2" ht="15.6" x14ac:dyDescent="0.3">
      <c r="A351" s="16"/>
      <c r="B351" s="16"/>
    </row>
    <row r="353" spans="1:3" x14ac:dyDescent="0.3">
      <c r="B353" s="9"/>
      <c r="C353" s="9"/>
    </row>
    <row r="354" spans="1:3" x14ac:dyDescent="0.3">
      <c r="A354" s="8"/>
    </row>
    <row r="355" spans="1:3" x14ac:dyDescent="0.3">
      <c r="A355" s="8"/>
    </row>
    <row r="356" spans="1:3" x14ac:dyDescent="0.3">
      <c r="A356" s="8"/>
    </row>
    <row r="357" spans="1:3" x14ac:dyDescent="0.3">
      <c r="A357" s="8"/>
    </row>
    <row r="358" spans="1:3" x14ac:dyDescent="0.3">
      <c r="A358" s="8"/>
    </row>
    <row r="359" spans="1:3" x14ac:dyDescent="0.3">
      <c r="A359" s="8"/>
      <c r="C359" s="18"/>
    </row>
    <row r="361" spans="1:3" x14ac:dyDescent="0.3">
      <c r="A361" s="8"/>
    </row>
    <row r="362" spans="1:3" x14ac:dyDescent="0.3">
      <c r="A362" s="8"/>
    </row>
    <row r="363" spans="1:3" x14ac:dyDescent="0.3">
      <c r="A363" s="8"/>
    </row>
    <row r="364" spans="1:3" x14ac:dyDescent="0.3">
      <c r="A364" s="8"/>
    </row>
    <row r="365" spans="1:3" x14ac:dyDescent="0.3">
      <c r="A365" s="8"/>
    </row>
    <row r="366" spans="1:3" x14ac:dyDescent="0.3">
      <c r="A366" s="8"/>
    </row>
    <row r="367" spans="1:3" x14ac:dyDescent="0.3">
      <c r="A367" s="8"/>
    </row>
    <row r="369" spans="1:3" x14ac:dyDescent="0.3">
      <c r="A369" s="8"/>
    </row>
    <row r="370" spans="1:3" x14ac:dyDescent="0.3">
      <c r="A370" s="8"/>
    </row>
    <row r="371" spans="1:3" x14ac:dyDescent="0.3">
      <c r="A371" s="8"/>
    </row>
    <row r="375" spans="1:3" ht="15.6" x14ac:dyDescent="0.3">
      <c r="A375" s="16"/>
      <c r="B375" s="16"/>
    </row>
    <row r="377" spans="1:3" x14ac:dyDescent="0.3">
      <c r="B377" s="9"/>
      <c r="C377" s="9"/>
    </row>
    <row r="378" spans="1:3" x14ac:dyDescent="0.3">
      <c r="A378" s="8"/>
    </row>
    <row r="379" spans="1:3" x14ac:dyDescent="0.3">
      <c r="A379" s="8"/>
    </row>
    <row r="380" spans="1:3" x14ac:dyDescent="0.3">
      <c r="A380" s="8"/>
    </row>
    <row r="381" spans="1:3" x14ac:dyDescent="0.3">
      <c r="A381" s="8"/>
    </row>
    <row r="382" spans="1:3" x14ac:dyDescent="0.3">
      <c r="A382" s="8"/>
    </row>
    <row r="383" spans="1:3" x14ac:dyDescent="0.3">
      <c r="A383" s="8"/>
    </row>
    <row r="385" spans="1:2" x14ac:dyDescent="0.3">
      <c r="A385" s="8"/>
    </row>
    <row r="386" spans="1:2" x14ac:dyDescent="0.3">
      <c r="A386" s="8"/>
    </row>
    <row r="387" spans="1:2" x14ac:dyDescent="0.3">
      <c r="A387" s="8"/>
    </row>
    <row r="388" spans="1:2" x14ac:dyDescent="0.3">
      <c r="A388" s="8"/>
    </row>
    <row r="389" spans="1:2" x14ac:dyDescent="0.3">
      <c r="A389" s="8"/>
    </row>
    <row r="390" spans="1:2" x14ac:dyDescent="0.3">
      <c r="A390" s="8"/>
    </row>
    <row r="391" spans="1:2" x14ac:dyDescent="0.3">
      <c r="A391" s="8"/>
    </row>
    <row r="393" spans="1:2" x14ac:dyDescent="0.3">
      <c r="A393" s="8"/>
    </row>
    <row r="394" spans="1:2" x14ac:dyDescent="0.3">
      <c r="A394" s="8"/>
    </row>
    <row r="395" spans="1:2" x14ac:dyDescent="0.3">
      <c r="A395" s="8"/>
    </row>
    <row r="399" spans="1:2" ht="15.6" x14ac:dyDescent="0.3">
      <c r="A399" s="16"/>
      <c r="B399" s="16"/>
    </row>
    <row r="401" spans="1:2" x14ac:dyDescent="0.3">
      <c r="B401" s="9"/>
    </row>
    <row r="402" spans="1:2" x14ac:dyDescent="0.3">
      <c r="A402" s="8"/>
    </row>
    <row r="403" spans="1:2" x14ac:dyDescent="0.3">
      <c r="A403" s="8"/>
    </row>
    <row r="404" spans="1:2" x14ac:dyDescent="0.3">
      <c r="A404" s="8"/>
    </row>
    <row r="405" spans="1:2" x14ac:dyDescent="0.3">
      <c r="A405" s="8"/>
    </row>
    <row r="406" spans="1:2" x14ac:dyDescent="0.3">
      <c r="A406" s="8"/>
    </row>
    <row r="407" spans="1:2" x14ac:dyDescent="0.3">
      <c r="A407" s="8"/>
    </row>
    <row r="409" spans="1:2" x14ac:dyDescent="0.3">
      <c r="A409" s="8"/>
    </row>
    <row r="410" spans="1:2" x14ac:dyDescent="0.3">
      <c r="A410" s="8"/>
    </row>
    <row r="411" spans="1:2" x14ac:dyDescent="0.3">
      <c r="A411" s="8"/>
    </row>
    <row r="412" spans="1:2" x14ac:dyDescent="0.3">
      <c r="A412" s="8"/>
    </row>
    <row r="413" spans="1:2" x14ac:dyDescent="0.3">
      <c r="A413" s="8"/>
    </row>
    <row r="414" spans="1:2" x14ac:dyDescent="0.3">
      <c r="A414" s="8"/>
    </row>
    <row r="415" spans="1:2" x14ac:dyDescent="0.3">
      <c r="A415" s="8"/>
    </row>
    <row r="417" spans="1:1" x14ac:dyDescent="0.3">
      <c r="A417" s="8"/>
    </row>
    <row r="418" spans="1:1" x14ac:dyDescent="0.3">
      <c r="A418" s="8"/>
    </row>
    <row r="419" spans="1:1" x14ac:dyDescent="0.3">
      <c r="A419" s="8"/>
    </row>
    <row r="528" spans="1:1" x14ac:dyDescent="0.3">
      <c r="A528" s="8"/>
    </row>
    <row r="529" spans="1:2" x14ac:dyDescent="0.3">
      <c r="A529" s="8"/>
    </row>
    <row r="530" spans="1:2" x14ac:dyDescent="0.3">
      <c r="A530" s="8"/>
    </row>
    <row r="531" spans="1:2" x14ac:dyDescent="0.3">
      <c r="A531" s="8"/>
    </row>
    <row r="532" spans="1:2" x14ac:dyDescent="0.3">
      <c r="A532" s="8"/>
    </row>
    <row r="533" spans="1:2" x14ac:dyDescent="0.3">
      <c r="A533" s="8"/>
    </row>
    <row r="535" spans="1:2" x14ac:dyDescent="0.3">
      <c r="A535" s="8"/>
    </row>
    <row r="536" spans="1:2" x14ac:dyDescent="0.3">
      <c r="A536" s="8"/>
    </row>
    <row r="537" spans="1:2" x14ac:dyDescent="0.3">
      <c r="A537" s="8"/>
    </row>
    <row r="543" spans="1:2" ht="15.6" x14ac:dyDescent="0.3">
      <c r="A543" s="16"/>
      <c r="B543" s="16"/>
    </row>
    <row r="545" spans="1:8" x14ac:dyDescent="0.3">
      <c r="B545" s="9"/>
      <c r="C545" s="9"/>
      <c r="D545" s="9"/>
      <c r="E545" s="9"/>
      <c r="F545" s="9"/>
      <c r="G545" s="9"/>
      <c r="H545" s="9"/>
    </row>
    <row r="546" spans="1:8" x14ac:dyDescent="0.3">
      <c r="A546" s="8"/>
    </row>
    <row r="547" spans="1:8" x14ac:dyDescent="0.3">
      <c r="A547" s="8"/>
    </row>
    <row r="548" spans="1:8" x14ac:dyDescent="0.3">
      <c r="A548" s="8"/>
    </row>
    <row r="549" spans="1:8" x14ac:dyDescent="0.3">
      <c r="A549" s="8"/>
    </row>
    <row r="550" spans="1:8" x14ac:dyDescent="0.3">
      <c r="A550" s="8"/>
    </row>
    <row r="551" spans="1:8" x14ac:dyDescent="0.3">
      <c r="A551" s="8"/>
    </row>
    <row r="553" spans="1:8" x14ac:dyDescent="0.3">
      <c r="A553" s="8"/>
    </row>
    <row r="554" spans="1:8" x14ac:dyDescent="0.3">
      <c r="A554" s="8"/>
    </row>
    <row r="555" spans="1:8" x14ac:dyDescent="0.3">
      <c r="A555" s="8"/>
    </row>
    <row r="556" spans="1:8" x14ac:dyDescent="0.3">
      <c r="A556" s="8"/>
    </row>
    <row r="557" spans="1:8" x14ac:dyDescent="0.3">
      <c r="A557" s="8"/>
    </row>
    <row r="558" spans="1:8" x14ac:dyDescent="0.3">
      <c r="A558" s="8"/>
    </row>
    <row r="559" spans="1:8" x14ac:dyDescent="0.3">
      <c r="A559" s="8"/>
    </row>
    <row r="561" spans="1:1" x14ac:dyDescent="0.3">
      <c r="A561" s="8"/>
    </row>
    <row r="562" spans="1:1" x14ac:dyDescent="0.3">
      <c r="A562" s="8"/>
    </row>
    <row r="563" spans="1:1" x14ac:dyDescent="0.3">
      <c r="A563" s="8"/>
    </row>
  </sheetData>
  <mergeCells count="30">
    <mergeCell ref="P207:Q207"/>
    <mergeCell ref="P213:Q213"/>
    <mergeCell ref="P219:Q219"/>
    <mergeCell ref="S207:T207"/>
    <mergeCell ref="J207:K207"/>
    <mergeCell ref="J213:K213"/>
    <mergeCell ref="J219:K219"/>
    <mergeCell ref="M207:N207"/>
    <mergeCell ref="M213:N213"/>
    <mergeCell ref="M219:N219"/>
    <mergeCell ref="D207:E207"/>
    <mergeCell ref="D213:E213"/>
    <mergeCell ref="D219:E219"/>
    <mergeCell ref="G207:H207"/>
    <mergeCell ref="G213:H213"/>
    <mergeCell ref="G219:H219"/>
    <mergeCell ref="G230:H230"/>
    <mergeCell ref="A351:B351"/>
    <mergeCell ref="A375:B375"/>
    <mergeCell ref="A399:B399"/>
    <mergeCell ref="A230:B230"/>
    <mergeCell ref="A543:B543"/>
    <mergeCell ref="A157:B157"/>
    <mergeCell ref="A183:B183"/>
    <mergeCell ref="A207:B207"/>
    <mergeCell ref="A25:B25"/>
    <mergeCell ref="A52:B52"/>
    <mergeCell ref="A79:B79"/>
    <mergeCell ref="A105:B105"/>
    <mergeCell ref="A131:B1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2974-D408-4FF9-B37A-2C6878E4E009}">
  <dimension ref="A1:J849"/>
  <sheetViews>
    <sheetView workbookViewId="0">
      <selection activeCell="E1" sqref="E1:E1048576"/>
    </sheetView>
  </sheetViews>
  <sheetFormatPr baseColWidth="10" defaultRowHeight="15.6" x14ac:dyDescent="0.3"/>
  <cols>
    <col min="1" max="1" width="17.5546875" style="6" bestFit="1" customWidth="1"/>
    <col min="2" max="2" width="21.44140625" style="6" bestFit="1" customWidth="1"/>
    <col min="3" max="3" width="19.109375" style="6" bestFit="1" customWidth="1"/>
    <col min="4" max="4" width="21.33203125" style="6" bestFit="1" customWidth="1"/>
    <col min="5" max="5" width="25.21875" style="6" bestFit="1" customWidth="1"/>
    <col min="6" max="6" width="22.77734375" style="6" bestFit="1" customWidth="1"/>
    <col min="7" max="7" width="21.77734375" style="6" bestFit="1" customWidth="1"/>
    <col min="8" max="8" width="25.6640625" style="6" bestFit="1" customWidth="1"/>
    <col min="9" max="9" width="23.21875" style="6" bestFit="1" customWidth="1"/>
    <col min="10" max="10" width="8.5546875" style="6" customWidth="1"/>
    <col min="11" max="16384" width="11.5546875" style="7"/>
  </cols>
  <sheetData>
    <row r="1" spans="1:10" ht="17.399999999999999" x14ac:dyDescent="0.3">
      <c r="A1" s="5" t="s">
        <v>0</v>
      </c>
      <c r="B1" s="5" t="s">
        <v>13</v>
      </c>
      <c r="C1" s="5" t="s">
        <v>12</v>
      </c>
      <c r="D1" s="5" t="s">
        <v>11</v>
      </c>
      <c r="E1" s="5" t="s">
        <v>10</v>
      </c>
      <c r="F1" s="5" t="s">
        <v>9</v>
      </c>
      <c r="G1" s="5" t="s">
        <v>8</v>
      </c>
      <c r="H1" s="5" t="s">
        <v>7</v>
      </c>
      <c r="I1" s="5" t="s">
        <v>6</v>
      </c>
    </row>
    <row r="2" spans="1:10" x14ac:dyDescent="0.3">
      <c r="A2" s="6" t="s">
        <v>2</v>
      </c>
      <c r="B2" s="6" t="s">
        <v>2</v>
      </c>
      <c r="C2" s="6" t="s">
        <v>2</v>
      </c>
      <c r="D2" s="6" t="s">
        <v>2</v>
      </c>
      <c r="E2" s="6" t="s">
        <v>3</v>
      </c>
      <c r="F2" s="6" t="s">
        <v>3</v>
      </c>
      <c r="G2" s="6" t="s">
        <v>2</v>
      </c>
      <c r="H2" s="6" t="s">
        <v>3</v>
      </c>
      <c r="I2" s="6" t="s">
        <v>3</v>
      </c>
      <c r="J2" s="6" t="s">
        <v>5</v>
      </c>
    </row>
    <row r="3" spans="1:10" x14ac:dyDescent="0.3">
      <c r="A3" s="6" t="s">
        <v>2</v>
      </c>
      <c r="B3" s="6" t="s">
        <v>2</v>
      </c>
      <c r="C3" s="6" t="s">
        <v>2</v>
      </c>
      <c r="D3" s="6" t="s">
        <v>2</v>
      </c>
      <c r="E3" s="6" t="s">
        <v>3</v>
      </c>
      <c r="F3" s="6" t="s">
        <v>3</v>
      </c>
      <c r="G3" s="6" t="s">
        <v>3</v>
      </c>
      <c r="H3" s="6" t="s">
        <v>2</v>
      </c>
      <c r="I3" s="6" t="s">
        <v>3</v>
      </c>
      <c r="J3" s="6" t="s">
        <v>5</v>
      </c>
    </row>
    <row r="4" spans="1:10" x14ac:dyDescent="0.3">
      <c r="A4" s="6" t="s">
        <v>2</v>
      </c>
      <c r="B4" s="6" t="s">
        <v>2</v>
      </c>
      <c r="C4" s="6" t="s">
        <v>2</v>
      </c>
      <c r="D4" s="6" t="s">
        <v>2</v>
      </c>
      <c r="E4" s="6" t="s">
        <v>3</v>
      </c>
      <c r="F4" s="6" t="s">
        <v>3</v>
      </c>
      <c r="G4" s="6" t="s">
        <v>3</v>
      </c>
      <c r="H4" s="6" t="s">
        <v>3</v>
      </c>
      <c r="I4" s="6" t="s">
        <v>2</v>
      </c>
      <c r="J4" s="6" t="s">
        <v>5</v>
      </c>
    </row>
    <row r="5" spans="1:10" x14ac:dyDescent="0.3">
      <c r="A5" s="6" t="s">
        <v>2</v>
      </c>
      <c r="B5" s="6" t="s">
        <v>2</v>
      </c>
      <c r="C5" s="6" t="s">
        <v>2</v>
      </c>
      <c r="D5" s="6" t="s">
        <v>2</v>
      </c>
      <c r="E5" s="6" t="s">
        <v>3</v>
      </c>
      <c r="F5" s="6" t="s">
        <v>3</v>
      </c>
      <c r="G5" s="6" t="s">
        <v>3</v>
      </c>
      <c r="H5" s="6" t="s">
        <v>4</v>
      </c>
      <c r="I5" s="6" t="s">
        <v>4</v>
      </c>
      <c r="J5" s="6" t="s">
        <v>5</v>
      </c>
    </row>
    <row r="6" spans="1:10" x14ac:dyDescent="0.3">
      <c r="A6" s="6" t="s">
        <v>2</v>
      </c>
      <c r="B6" s="6" t="s">
        <v>2</v>
      </c>
      <c r="C6" s="6" t="s">
        <v>2</v>
      </c>
      <c r="D6" s="6" t="s">
        <v>2</v>
      </c>
      <c r="E6" s="6" t="s">
        <v>3</v>
      </c>
      <c r="F6" s="6" t="s">
        <v>3</v>
      </c>
      <c r="G6" s="6" t="s">
        <v>4</v>
      </c>
      <c r="H6" s="6" t="s">
        <v>3</v>
      </c>
      <c r="I6" s="6" t="s">
        <v>4</v>
      </c>
      <c r="J6" s="6" t="s">
        <v>5</v>
      </c>
    </row>
    <row r="7" spans="1:10" x14ac:dyDescent="0.3">
      <c r="A7" s="6" t="s">
        <v>2</v>
      </c>
      <c r="B7" s="6" t="s">
        <v>2</v>
      </c>
      <c r="C7" s="6" t="s">
        <v>2</v>
      </c>
      <c r="D7" s="6" t="s">
        <v>2</v>
      </c>
      <c r="E7" s="6" t="s">
        <v>3</v>
      </c>
      <c r="F7" s="6" t="s">
        <v>3</v>
      </c>
      <c r="G7" s="6" t="s">
        <v>4</v>
      </c>
      <c r="H7" s="6" t="s">
        <v>4</v>
      </c>
      <c r="I7" s="6" t="s">
        <v>3</v>
      </c>
      <c r="J7" s="6" t="s">
        <v>5</v>
      </c>
    </row>
    <row r="8" spans="1:10" x14ac:dyDescent="0.3">
      <c r="A8" s="6" t="s">
        <v>2</v>
      </c>
      <c r="B8" s="6" t="s">
        <v>2</v>
      </c>
      <c r="C8" s="6" t="s">
        <v>2</v>
      </c>
      <c r="D8" s="6" t="s">
        <v>2</v>
      </c>
      <c r="E8" s="6" t="s">
        <v>3</v>
      </c>
      <c r="F8" s="6" t="s">
        <v>4</v>
      </c>
      <c r="G8" s="6" t="s">
        <v>3</v>
      </c>
      <c r="H8" s="6" t="s">
        <v>3</v>
      </c>
      <c r="I8" s="6" t="s">
        <v>4</v>
      </c>
      <c r="J8" s="6" t="s">
        <v>5</v>
      </c>
    </row>
    <row r="9" spans="1:10" x14ac:dyDescent="0.3">
      <c r="A9" s="6" t="s">
        <v>2</v>
      </c>
      <c r="B9" s="6" t="s">
        <v>2</v>
      </c>
      <c r="C9" s="6" t="s">
        <v>2</v>
      </c>
      <c r="D9" s="6" t="s">
        <v>2</v>
      </c>
      <c r="E9" s="6" t="s">
        <v>3</v>
      </c>
      <c r="F9" s="6" t="s">
        <v>4</v>
      </c>
      <c r="G9" s="6" t="s">
        <v>3</v>
      </c>
      <c r="H9" s="6" t="s">
        <v>4</v>
      </c>
      <c r="I9" s="6" t="s">
        <v>3</v>
      </c>
      <c r="J9" s="6" t="s">
        <v>5</v>
      </c>
    </row>
    <row r="10" spans="1:10" x14ac:dyDescent="0.3">
      <c r="A10" s="6" t="s">
        <v>2</v>
      </c>
      <c r="B10" s="6" t="s">
        <v>2</v>
      </c>
      <c r="C10" s="6" t="s">
        <v>2</v>
      </c>
      <c r="D10" s="6" t="s">
        <v>2</v>
      </c>
      <c r="E10" s="6" t="s">
        <v>3</v>
      </c>
      <c r="F10" s="6" t="s">
        <v>4</v>
      </c>
      <c r="G10" s="6" t="s">
        <v>4</v>
      </c>
      <c r="H10" s="6" t="s">
        <v>3</v>
      </c>
      <c r="I10" s="6" t="s">
        <v>3</v>
      </c>
      <c r="J10" s="6" t="s">
        <v>5</v>
      </c>
    </row>
    <row r="11" spans="1:10" x14ac:dyDescent="0.3">
      <c r="A11" s="6" t="s">
        <v>2</v>
      </c>
      <c r="B11" s="6" t="s">
        <v>2</v>
      </c>
      <c r="C11" s="6" t="s">
        <v>2</v>
      </c>
      <c r="D11" s="6" t="s">
        <v>2</v>
      </c>
      <c r="E11" s="6" t="s">
        <v>4</v>
      </c>
      <c r="F11" s="6" t="s">
        <v>3</v>
      </c>
      <c r="G11" s="6" t="s">
        <v>3</v>
      </c>
      <c r="H11" s="6" t="s">
        <v>3</v>
      </c>
      <c r="I11" s="6" t="s">
        <v>4</v>
      </c>
      <c r="J11" s="6" t="s">
        <v>5</v>
      </c>
    </row>
    <row r="12" spans="1:10" x14ac:dyDescent="0.3">
      <c r="A12" s="6" t="s">
        <v>2</v>
      </c>
      <c r="B12" s="6" t="s">
        <v>2</v>
      </c>
      <c r="C12" s="6" t="s">
        <v>2</v>
      </c>
      <c r="D12" s="6" t="s">
        <v>2</v>
      </c>
      <c r="E12" s="6" t="s">
        <v>4</v>
      </c>
      <c r="F12" s="6" t="s">
        <v>3</v>
      </c>
      <c r="G12" s="6" t="s">
        <v>3</v>
      </c>
      <c r="H12" s="6" t="s">
        <v>4</v>
      </c>
      <c r="I12" s="6" t="s">
        <v>3</v>
      </c>
      <c r="J12" s="6" t="s">
        <v>5</v>
      </c>
    </row>
    <row r="13" spans="1:10" x14ac:dyDescent="0.3">
      <c r="A13" s="6" t="s">
        <v>2</v>
      </c>
      <c r="B13" s="6" t="s">
        <v>2</v>
      </c>
      <c r="C13" s="6" t="s">
        <v>2</v>
      </c>
      <c r="D13" s="6" t="s">
        <v>2</v>
      </c>
      <c r="E13" s="6" t="s">
        <v>4</v>
      </c>
      <c r="F13" s="6" t="s">
        <v>3</v>
      </c>
      <c r="G13" s="6" t="s">
        <v>4</v>
      </c>
      <c r="H13" s="6" t="s">
        <v>3</v>
      </c>
      <c r="I13" s="6" t="s">
        <v>3</v>
      </c>
      <c r="J13" s="6" t="s">
        <v>5</v>
      </c>
    </row>
    <row r="14" spans="1:10" x14ac:dyDescent="0.3">
      <c r="A14" s="6" t="s">
        <v>2</v>
      </c>
      <c r="B14" s="6" t="s">
        <v>2</v>
      </c>
      <c r="C14" s="6" t="s">
        <v>2</v>
      </c>
      <c r="D14" s="6" t="s">
        <v>3</v>
      </c>
      <c r="E14" s="6" t="s">
        <v>2</v>
      </c>
      <c r="F14" s="6" t="s">
        <v>3</v>
      </c>
      <c r="G14" s="6" t="s">
        <v>2</v>
      </c>
      <c r="H14" s="6" t="s">
        <v>3</v>
      </c>
      <c r="I14" s="6" t="s">
        <v>3</v>
      </c>
      <c r="J14" s="6" t="s">
        <v>5</v>
      </c>
    </row>
    <row r="15" spans="1:10" x14ac:dyDescent="0.3">
      <c r="A15" s="6" t="s">
        <v>2</v>
      </c>
      <c r="B15" s="6" t="s">
        <v>2</v>
      </c>
      <c r="C15" s="6" t="s">
        <v>2</v>
      </c>
      <c r="D15" s="6" t="s">
        <v>3</v>
      </c>
      <c r="E15" s="6" t="s">
        <v>2</v>
      </c>
      <c r="F15" s="6" t="s">
        <v>3</v>
      </c>
      <c r="G15" s="6" t="s">
        <v>3</v>
      </c>
      <c r="H15" s="6" t="s">
        <v>2</v>
      </c>
      <c r="I15" s="6" t="s">
        <v>3</v>
      </c>
      <c r="J15" s="6" t="s">
        <v>5</v>
      </c>
    </row>
    <row r="16" spans="1:10" x14ac:dyDescent="0.3">
      <c r="A16" s="6" t="s">
        <v>2</v>
      </c>
      <c r="B16" s="6" t="s">
        <v>2</v>
      </c>
      <c r="C16" s="6" t="s">
        <v>2</v>
      </c>
      <c r="D16" s="6" t="s">
        <v>3</v>
      </c>
      <c r="E16" s="6" t="s">
        <v>2</v>
      </c>
      <c r="F16" s="6" t="s">
        <v>3</v>
      </c>
      <c r="G16" s="6" t="s">
        <v>3</v>
      </c>
      <c r="H16" s="6" t="s">
        <v>3</v>
      </c>
      <c r="I16" s="6" t="s">
        <v>2</v>
      </c>
      <c r="J16" s="6" t="s">
        <v>5</v>
      </c>
    </row>
    <row r="17" spans="1:10" x14ac:dyDescent="0.3">
      <c r="A17" s="6" t="s">
        <v>2</v>
      </c>
      <c r="B17" s="6" t="s">
        <v>2</v>
      </c>
      <c r="C17" s="6" t="s">
        <v>2</v>
      </c>
      <c r="D17" s="6" t="s">
        <v>3</v>
      </c>
      <c r="E17" s="6" t="s">
        <v>2</v>
      </c>
      <c r="F17" s="6" t="s">
        <v>3</v>
      </c>
      <c r="G17" s="6" t="s">
        <v>3</v>
      </c>
      <c r="H17" s="6" t="s">
        <v>4</v>
      </c>
      <c r="I17" s="6" t="s">
        <v>4</v>
      </c>
      <c r="J17" s="6" t="s">
        <v>5</v>
      </c>
    </row>
    <row r="18" spans="1:10" x14ac:dyDescent="0.3">
      <c r="A18" s="6" t="s">
        <v>2</v>
      </c>
      <c r="B18" s="6" t="s">
        <v>2</v>
      </c>
      <c r="C18" s="6" t="s">
        <v>2</v>
      </c>
      <c r="D18" s="6" t="s">
        <v>3</v>
      </c>
      <c r="E18" s="6" t="s">
        <v>2</v>
      </c>
      <c r="F18" s="6" t="s">
        <v>3</v>
      </c>
      <c r="G18" s="6" t="s">
        <v>4</v>
      </c>
      <c r="H18" s="6" t="s">
        <v>3</v>
      </c>
      <c r="I18" s="6" t="s">
        <v>4</v>
      </c>
      <c r="J18" s="6" t="s">
        <v>5</v>
      </c>
    </row>
    <row r="19" spans="1:10" x14ac:dyDescent="0.3">
      <c r="A19" s="6" t="s">
        <v>2</v>
      </c>
      <c r="B19" s="6" t="s">
        <v>2</v>
      </c>
      <c r="C19" s="6" t="s">
        <v>2</v>
      </c>
      <c r="D19" s="6" t="s">
        <v>3</v>
      </c>
      <c r="E19" s="6" t="s">
        <v>2</v>
      </c>
      <c r="F19" s="6" t="s">
        <v>3</v>
      </c>
      <c r="G19" s="6" t="s">
        <v>4</v>
      </c>
      <c r="H19" s="6" t="s">
        <v>4</v>
      </c>
      <c r="I19" s="6" t="s">
        <v>3</v>
      </c>
      <c r="J19" s="6" t="s">
        <v>5</v>
      </c>
    </row>
    <row r="20" spans="1:10" x14ac:dyDescent="0.3">
      <c r="A20" s="6" t="s">
        <v>2</v>
      </c>
      <c r="B20" s="6" t="s">
        <v>2</v>
      </c>
      <c r="C20" s="6" t="s">
        <v>2</v>
      </c>
      <c r="D20" s="6" t="s">
        <v>3</v>
      </c>
      <c r="E20" s="6" t="s">
        <v>2</v>
      </c>
      <c r="F20" s="6" t="s">
        <v>4</v>
      </c>
      <c r="G20" s="6" t="s">
        <v>3</v>
      </c>
      <c r="H20" s="6" t="s">
        <v>3</v>
      </c>
      <c r="I20" s="6" t="s">
        <v>4</v>
      </c>
      <c r="J20" s="6" t="s">
        <v>5</v>
      </c>
    </row>
    <row r="21" spans="1:10" x14ac:dyDescent="0.3">
      <c r="A21" s="6" t="s">
        <v>2</v>
      </c>
      <c r="B21" s="6" t="s">
        <v>2</v>
      </c>
      <c r="C21" s="6" t="s">
        <v>2</v>
      </c>
      <c r="D21" s="6" t="s">
        <v>3</v>
      </c>
      <c r="E21" s="6" t="s">
        <v>2</v>
      </c>
      <c r="F21" s="6" t="s">
        <v>4</v>
      </c>
      <c r="G21" s="6" t="s">
        <v>3</v>
      </c>
      <c r="H21" s="6" t="s">
        <v>4</v>
      </c>
      <c r="I21" s="6" t="s">
        <v>3</v>
      </c>
      <c r="J21" s="6" t="s">
        <v>5</v>
      </c>
    </row>
    <row r="22" spans="1:10" x14ac:dyDescent="0.3">
      <c r="A22" s="6" t="s">
        <v>2</v>
      </c>
      <c r="B22" s="6" t="s">
        <v>2</v>
      </c>
      <c r="C22" s="6" t="s">
        <v>2</v>
      </c>
      <c r="D22" s="6" t="s">
        <v>3</v>
      </c>
      <c r="E22" s="6" t="s">
        <v>2</v>
      </c>
      <c r="F22" s="6" t="s">
        <v>4</v>
      </c>
      <c r="G22" s="6" t="s">
        <v>4</v>
      </c>
      <c r="H22" s="6" t="s">
        <v>3</v>
      </c>
      <c r="I22" s="6" t="s">
        <v>3</v>
      </c>
      <c r="J22" s="6" t="s">
        <v>5</v>
      </c>
    </row>
    <row r="23" spans="1:10" x14ac:dyDescent="0.3">
      <c r="A23" s="6" t="s">
        <v>2</v>
      </c>
      <c r="B23" s="6" t="s">
        <v>2</v>
      </c>
      <c r="C23" s="6" t="s">
        <v>2</v>
      </c>
      <c r="D23" s="6" t="s">
        <v>3</v>
      </c>
      <c r="E23" s="6" t="s">
        <v>3</v>
      </c>
      <c r="F23" s="6" t="s">
        <v>2</v>
      </c>
      <c r="G23" s="6" t="s">
        <v>2</v>
      </c>
      <c r="H23" s="6" t="s">
        <v>3</v>
      </c>
      <c r="I23" s="6" t="s">
        <v>3</v>
      </c>
      <c r="J23" s="6" t="s">
        <v>5</v>
      </c>
    </row>
    <row r="24" spans="1:10" x14ac:dyDescent="0.3">
      <c r="A24" s="6" t="s">
        <v>2</v>
      </c>
      <c r="B24" s="6" t="s">
        <v>2</v>
      </c>
      <c r="C24" s="6" t="s">
        <v>2</v>
      </c>
      <c r="D24" s="6" t="s">
        <v>3</v>
      </c>
      <c r="E24" s="6" t="s">
        <v>3</v>
      </c>
      <c r="F24" s="6" t="s">
        <v>2</v>
      </c>
      <c r="G24" s="6" t="s">
        <v>3</v>
      </c>
      <c r="H24" s="6" t="s">
        <v>2</v>
      </c>
      <c r="I24" s="6" t="s">
        <v>3</v>
      </c>
      <c r="J24" s="6" t="s">
        <v>5</v>
      </c>
    </row>
    <row r="25" spans="1:10" x14ac:dyDescent="0.3">
      <c r="A25" s="6" t="s">
        <v>2</v>
      </c>
      <c r="B25" s="6" t="s">
        <v>2</v>
      </c>
      <c r="C25" s="6" t="s">
        <v>2</v>
      </c>
      <c r="D25" s="6" t="s">
        <v>3</v>
      </c>
      <c r="E25" s="6" t="s">
        <v>3</v>
      </c>
      <c r="F25" s="6" t="s">
        <v>2</v>
      </c>
      <c r="G25" s="6" t="s">
        <v>3</v>
      </c>
      <c r="H25" s="6" t="s">
        <v>3</v>
      </c>
      <c r="I25" s="6" t="s">
        <v>2</v>
      </c>
      <c r="J25" s="6" t="s">
        <v>5</v>
      </c>
    </row>
    <row r="26" spans="1:10" x14ac:dyDescent="0.3">
      <c r="A26" s="6" t="s">
        <v>2</v>
      </c>
      <c r="B26" s="6" t="s">
        <v>2</v>
      </c>
      <c r="C26" s="6" t="s">
        <v>2</v>
      </c>
      <c r="D26" s="6" t="s">
        <v>3</v>
      </c>
      <c r="E26" s="6" t="s">
        <v>3</v>
      </c>
      <c r="F26" s="6" t="s">
        <v>2</v>
      </c>
      <c r="G26" s="6" t="s">
        <v>3</v>
      </c>
      <c r="H26" s="6" t="s">
        <v>4</v>
      </c>
      <c r="I26" s="6" t="s">
        <v>4</v>
      </c>
      <c r="J26" s="6" t="s">
        <v>5</v>
      </c>
    </row>
    <row r="27" spans="1:10" x14ac:dyDescent="0.3">
      <c r="A27" s="6" t="s">
        <v>2</v>
      </c>
      <c r="B27" s="6" t="s">
        <v>2</v>
      </c>
      <c r="C27" s="6" t="s">
        <v>2</v>
      </c>
      <c r="D27" s="6" t="s">
        <v>3</v>
      </c>
      <c r="E27" s="6" t="s">
        <v>3</v>
      </c>
      <c r="F27" s="6" t="s">
        <v>2</v>
      </c>
      <c r="G27" s="6" t="s">
        <v>4</v>
      </c>
      <c r="H27" s="6" t="s">
        <v>3</v>
      </c>
      <c r="I27" s="6" t="s">
        <v>4</v>
      </c>
      <c r="J27" s="6" t="s">
        <v>5</v>
      </c>
    </row>
    <row r="28" spans="1:10" x14ac:dyDescent="0.3">
      <c r="A28" s="6" t="s">
        <v>2</v>
      </c>
      <c r="B28" s="6" t="s">
        <v>2</v>
      </c>
      <c r="C28" s="6" t="s">
        <v>2</v>
      </c>
      <c r="D28" s="6" t="s">
        <v>3</v>
      </c>
      <c r="E28" s="6" t="s">
        <v>3</v>
      </c>
      <c r="F28" s="6" t="s">
        <v>2</v>
      </c>
      <c r="G28" s="6" t="s">
        <v>4</v>
      </c>
      <c r="H28" s="6" t="s">
        <v>4</v>
      </c>
      <c r="I28" s="6" t="s">
        <v>3</v>
      </c>
      <c r="J28" s="6" t="s">
        <v>5</v>
      </c>
    </row>
    <row r="29" spans="1:10" x14ac:dyDescent="0.3">
      <c r="A29" s="6" t="s">
        <v>2</v>
      </c>
      <c r="B29" s="6" t="s">
        <v>2</v>
      </c>
      <c r="C29" s="6" t="s">
        <v>2</v>
      </c>
      <c r="D29" s="6" t="s">
        <v>3</v>
      </c>
      <c r="E29" s="6" t="s">
        <v>3</v>
      </c>
      <c r="F29" s="6" t="s">
        <v>4</v>
      </c>
      <c r="G29" s="6" t="s">
        <v>2</v>
      </c>
      <c r="H29" s="6" t="s">
        <v>3</v>
      </c>
      <c r="I29" s="6" t="s">
        <v>4</v>
      </c>
      <c r="J29" s="6" t="s">
        <v>5</v>
      </c>
    </row>
    <row r="30" spans="1:10" x14ac:dyDescent="0.3">
      <c r="A30" s="6" t="s">
        <v>2</v>
      </c>
      <c r="B30" s="6" t="s">
        <v>2</v>
      </c>
      <c r="C30" s="6" t="s">
        <v>2</v>
      </c>
      <c r="D30" s="6" t="s">
        <v>3</v>
      </c>
      <c r="E30" s="6" t="s">
        <v>3</v>
      </c>
      <c r="F30" s="6" t="s">
        <v>4</v>
      </c>
      <c r="G30" s="6" t="s">
        <v>2</v>
      </c>
      <c r="H30" s="6" t="s">
        <v>4</v>
      </c>
      <c r="I30" s="6" t="s">
        <v>3</v>
      </c>
      <c r="J30" s="6" t="s">
        <v>5</v>
      </c>
    </row>
    <row r="31" spans="1:10" x14ac:dyDescent="0.3">
      <c r="A31" s="6" t="s">
        <v>2</v>
      </c>
      <c r="B31" s="6" t="s">
        <v>2</v>
      </c>
      <c r="C31" s="6" t="s">
        <v>2</v>
      </c>
      <c r="D31" s="6" t="s">
        <v>3</v>
      </c>
      <c r="E31" s="6" t="s">
        <v>3</v>
      </c>
      <c r="F31" s="6" t="s">
        <v>4</v>
      </c>
      <c r="G31" s="6" t="s">
        <v>3</v>
      </c>
      <c r="H31" s="6" t="s">
        <v>2</v>
      </c>
      <c r="I31" s="6" t="s">
        <v>4</v>
      </c>
      <c r="J31" s="6" t="s">
        <v>5</v>
      </c>
    </row>
    <row r="32" spans="1:10" x14ac:dyDescent="0.3">
      <c r="A32" s="6" t="s">
        <v>2</v>
      </c>
      <c r="B32" s="6" t="s">
        <v>2</v>
      </c>
      <c r="C32" s="6" t="s">
        <v>2</v>
      </c>
      <c r="D32" s="6" t="s">
        <v>3</v>
      </c>
      <c r="E32" s="6" t="s">
        <v>3</v>
      </c>
      <c r="F32" s="6" t="s">
        <v>4</v>
      </c>
      <c r="G32" s="6" t="s">
        <v>3</v>
      </c>
      <c r="H32" s="6" t="s">
        <v>4</v>
      </c>
      <c r="I32" s="6" t="s">
        <v>2</v>
      </c>
      <c r="J32" s="6" t="s">
        <v>5</v>
      </c>
    </row>
    <row r="33" spans="1:10" x14ac:dyDescent="0.3">
      <c r="A33" s="6" t="s">
        <v>2</v>
      </c>
      <c r="B33" s="6" t="s">
        <v>2</v>
      </c>
      <c r="C33" s="6" t="s">
        <v>2</v>
      </c>
      <c r="D33" s="6" t="s">
        <v>3</v>
      </c>
      <c r="E33" s="6" t="s">
        <v>3</v>
      </c>
      <c r="F33" s="6" t="s">
        <v>4</v>
      </c>
      <c r="G33" s="6" t="s">
        <v>4</v>
      </c>
      <c r="H33" s="6" t="s">
        <v>2</v>
      </c>
      <c r="I33" s="6" t="s">
        <v>3</v>
      </c>
      <c r="J33" s="6" t="s">
        <v>5</v>
      </c>
    </row>
    <row r="34" spans="1:10" x14ac:dyDescent="0.3">
      <c r="A34" s="6" t="s">
        <v>2</v>
      </c>
      <c r="B34" s="6" t="s">
        <v>2</v>
      </c>
      <c r="C34" s="6" t="s">
        <v>2</v>
      </c>
      <c r="D34" s="6" t="s">
        <v>3</v>
      </c>
      <c r="E34" s="6" t="s">
        <v>3</v>
      </c>
      <c r="F34" s="6" t="s">
        <v>4</v>
      </c>
      <c r="G34" s="6" t="s">
        <v>4</v>
      </c>
      <c r="H34" s="6" t="s">
        <v>3</v>
      </c>
      <c r="I34" s="6" t="s">
        <v>2</v>
      </c>
      <c r="J34" s="6" t="s">
        <v>5</v>
      </c>
    </row>
    <row r="35" spans="1:10" x14ac:dyDescent="0.3">
      <c r="A35" s="6" t="s">
        <v>2</v>
      </c>
      <c r="B35" s="6" t="s">
        <v>2</v>
      </c>
      <c r="C35" s="6" t="s">
        <v>2</v>
      </c>
      <c r="D35" s="6" t="s">
        <v>3</v>
      </c>
      <c r="E35" s="6" t="s">
        <v>3</v>
      </c>
      <c r="F35" s="6" t="s">
        <v>4</v>
      </c>
      <c r="G35" s="6" t="s">
        <v>4</v>
      </c>
      <c r="H35" s="6" t="s">
        <v>4</v>
      </c>
      <c r="I35" s="6" t="s">
        <v>4</v>
      </c>
      <c r="J35" s="6" t="s">
        <v>5</v>
      </c>
    </row>
    <row r="36" spans="1:10" x14ac:dyDescent="0.3">
      <c r="A36" s="6" t="s">
        <v>2</v>
      </c>
      <c r="B36" s="6" t="s">
        <v>2</v>
      </c>
      <c r="C36" s="6" t="s">
        <v>2</v>
      </c>
      <c r="D36" s="6" t="s">
        <v>3</v>
      </c>
      <c r="E36" s="6" t="s">
        <v>4</v>
      </c>
      <c r="F36" s="6" t="s">
        <v>2</v>
      </c>
      <c r="G36" s="6" t="s">
        <v>3</v>
      </c>
      <c r="H36" s="6" t="s">
        <v>3</v>
      </c>
      <c r="I36" s="6" t="s">
        <v>4</v>
      </c>
      <c r="J36" s="6" t="s">
        <v>5</v>
      </c>
    </row>
    <row r="37" spans="1:10" x14ac:dyDescent="0.3">
      <c r="A37" s="6" t="s">
        <v>2</v>
      </c>
      <c r="B37" s="6" t="s">
        <v>2</v>
      </c>
      <c r="C37" s="6" t="s">
        <v>2</v>
      </c>
      <c r="D37" s="6" t="s">
        <v>3</v>
      </c>
      <c r="E37" s="6" t="s">
        <v>4</v>
      </c>
      <c r="F37" s="6" t="s">
        <v>2</v>
      </c>
      <c r="G37" s="6" t="s">
        <v>3</v>
      </c>
      <c r="H37" s="6" t="s">
        <v>4</v>
      </c>
      <c r="I37" s="6" t="s">
        <v>3</v>
      </c>
      <c r="J37" s="6" t="s">
        <v>5</v>
      </c>
    </row>
    <row r="38" spans="1:10" x14ac:dyDescent="0.3">
      <c r="A38" s="6" t="s">
        <v>2</v>
      </c>
      <c r="B38" s="6" t="s">
        <v>2</v>
      </c>
      <c r="C38" s="6" t="s">
        <v>2</v>
      </c>
      <c r="D38" s="6" t="s">
        <v>3</v>
      </c>
      <c r="E38" s="6" t="s">
        <v>4</v>
      </c>
      <c r="F38" s="6" t="s">
        <v>2</v>
      </c>
      <c r="G38" s="6" t="s">
        <v>4</v>
      </c>
      <c r="H38" s="6" t="s">
        <v>3</v>
      </c>
      <c r="I38" s="6" t="s">
        <v>3</v>
      </c>
      <c r="J38" s="6" t="s">
        <v>5</v>
      </c>
    </row>
    <row r="39" spans="1:10" x14ac:dyDescent="0.3">
      <c r="A39" s="6" t="s">
        <v>2</v>
      </c>
      <c r="B39" s="6" t="s">
        <v>2</v>
      </c>
      <c r="C39" s="6" t="s">
        <v>2</v>
      </c>
      <c r="D39" s="6" t="s">
        <v>3</v>
      </c>
      <c r="E39" s="6" t="s">
        <v>4</v>
      </c>
      <c r="F39" s="6" t="s">
        <v>3</v>
      </c>
      <c r="G39" s="6" t="s">
        <v>2</v>
      </c>
      <c r="H39" s="6" t="s">
        <v>3</v>
      </c>
      <c r="I39" s="6" t="s">
        <v>4</v>
      </c>
      <c r="J39" s="6" t="s">
        <v>5</v>
      </c>
    </row>
    <row r="40" spans="1:10" x14ac:dyDescent="0.3">
      <c r="A40" s="6" t="s">
        <v>2</v>
      </c>
      <c r="B40" s="6" t="s">
        <v>2</v>
      </c>
      <c r="C40" s="6" t="s">
        <v>2</v>
      </c>
      <c r="D40" s="6" t="s">
        <v>3</v>
      </c>
      <c r="E40" s="6" t="s">
        <v>4</v>
      </c>
      <c r="F40" s="6" t="s">
        <v>3</v>
      </c>
      <c r="G40" s="6" t="s">
        <v>2</v>
      </c>
      <c r="H40" s="6" t="s">
        <v>4</v>
      </c>
      <c r="I40" s="6" t="s">
        <v>3</v>
      </c>
      <c r="J40" s="6" t="s">
        <v>5</v>
      </c>
    </row>
    <row r="41" spans="1:10" x14ac:dyDescent="0.3">
      <c r="A41" s="6" t="s">
        <v>2</v>
      </c>
      <c r="B41" s="6" t="s">
        <v>2</v>
      </c>
      <c r="C41" s="6" t="s">
        <v>2</v>
      </c>
      <c r="D41" s="6" t="s">
        <v>3</v>
      </c>
      <c r="E41" s="6" t="s">
        <v>4</v>
      </c>
      <c r="F41" s="6" t="s">
        <v>3</v>
      </c>
      <c r="G41" s="6" t="s">
        <v>3</v>
      </c>
      <c r="H41" s="6" t="s">
        <v>2</v>
      </c>
      <c r="I41" s="6" t="s">
        <v>4</v>
      </c>
      <c r="J41" s="6" t="s">
        <v>5</v>
      </c>
    </row>
    <row r="42" spans="1:10" x14ac:dyDescent="0.3">
      <c r="A42" s="6" t="s">
        <v>2</v>
      </c>
      <c r="B42" s="6" t="s">
        <v>2</v>
      </c>
      <c r="C42" s="6" t="s">
        <v>2</v>
      </c>
      <c r="D42" s="6" t="s">
        <v>3</v>
      </c>
      <c r="E42" s="6" t="s">
        <v>4</v>
      </c>
      <c r="F42" s="6" t="s">
        <v>3</v>
      </c>
      <c r="G42" s="6" t="s">
        <v>3</v>
      </c>
      <c r="H42" s="6" t="s">
        <v>4</v>
      </c>
      <c r="I42" s="6" t="s">
        <v>2</v>
      </c>
      <c r="J42" s="6" t="s">
        <v>5</v>
      </c>
    </row>
    <row r="43" spans="1:10" x14ac:dyDescent="0.3">
      <c r="A43" s="6" t="s">
        <v>2</v>
      </c>
      <c r="B43" s="6" t="s">
        <v>2</v>
      </c>
      <c r="C43" s="6" t="s">
        <v>2</v>
      </c>
      <c r="D43" s="6" t="s">
        <v>3</v>
      </c>
      <c r="E43" s="6" t="s">
        <v>4</v>
      </c>
      <c r="F43" s="6" t="s">
        <v>3</v>
      </c>
      <c r="G43" s="6" t="s">
        <v>4</v>
      </c>
      <c r="H43" s="6" t="s">
        <v>2</v>
      </c>
      <c r="I43" s="6" t="s">
        <v>3</v>
      </c>
      <c r="J43" s="6" t="s">
        <v>5</v>
      </c>
    </row>
    <row r="44" spans="1:10" x14ac:dyDescent="0.3">
      <c r="A44" s="6" t="s">
        <v>2</v>
      </c>
      <c r="B44" s="6" t="s">
        <v>2</v>
      </c>
      <c r="C44" s="6" t="s">
        <v>2</v>
      </c>
      <c r="D44" s="6" t="s">
        <v>3</v>
      </c>
      <c r="E44" s="6" t="s">
        <v>4</v>
      </c>
      <c r="F44" s="6" t="s">
        <v>3</v>
      </c>
      <c r="G44" s="6" t="s">
        <v>4</v>
      </c>
      <c r="H44" s="6" t="s">
        <v>3</v>
      </c>
      <c r="I44" s="6" t="s">
        <v>2</v>
      </c>
      <c r="J44" s="6" t="s">
        <v>5</v>
      </c>
    </row>
    <row r="45" spans="1:10" x14ac:dyDescent="0.3">
      <c r="A45" s="6" t="s">
        <v>2</v>
      </c>
      <c r="B45" s="6" t="s">
        <v>2</v>
      </c>
      <c r="C45" s="6" t="s">
        <v>2</v>
      </c>
      <c r="D45" s="6" t="s">
        <v>3</v>
      </c>
      <c r="E45" s="6" t="s">
        <v>4</v>
      </c>
      <c r="F45" s="6" t="s">
        <v>3</v>
      </c>
      <c r="G45" s="6" t="s">
        <v>4</v>
      </c>
      <c r="H45" s="6" t="s">
        <v>4</v>
      </c>
      <c r="I45" s="6" t="s">
        <v>4</v>
      </c>
      <c r="J45" s="6" t="s">
        <v>5</v>
      </c>
    </row>
    <row r="46" spans="1:10" x14ac:dyDescent="0.3">
      <c r="A46" s="6" t="s">
        <v>2</v>
      </c>
      <c r="B46" s="6" t="s">
        <v>2</v>
      </c>
      <c r="C46" s="6" t="s">
        <v>2</v>
      </c>
      <c r="D46" s="6" t="s">
        <v>3</v>
      </c>
      <c r="E46" s="6" t="s">
        <v>4</v>
      </c>
      <c r="F46" s="6" t="s">
        <v>4</v>
      </c>
      <c r="G46" s="6" t="s">
        <v>2</v>
      </c>
      <c r="H46" s="6" t="s">
        <v>3</v>
      </c>
      <c r="I46" s="6" t="s">
        <v>3</v>
      </c>
      <c r="J46" s="6" t="s">
        <v>5</v>
      </c>
    </row>
    <row r="47" spans="1:10" x14ac:dyDescent="0.3">
      <c r="A47" s="6" t="s">
        <v>2</v>
      </c>
      <c r="B47" s="6" t="s">
        <v>2</v>
      </c>
      <c r="C47" s="6" t="s">
        <v>2</v>
      </c>
      <c r="D47" s="6" t="s">
        <v>3</v>
      </c>
      <c r="E47" s="6" t="s">
        <v>4</v>
      </c>
      <c r="F47" s="6" t="s">
        <v>4</v>
      </c>
      <c r="G47" s="6" t="s">
        <v>3</v>
      </c>
      <c r="H47" s="6" t="s">
        <v>2</v>
      </c>
      <c r="I47" s="6" t="s">
        <v>3</v>
      </c>
      <c r="J47" s="6" t="s">
        <v>5</v>
      </c>
    </row>
    <row r="48" spans="1:10" x14ac:dyDescent="0.3">
      <c r="A48" s="6" t="s">
        <v>2</v>
      </c>
      <c r="B48" s="6" t="s">
        <v>2</v>
      </c>
      <c r="C48" s="6" t="s">
        <v>2</v>
      </c>
      <c r="D48" s="6" t="s">
        <v>3</v>
      </c>
      <c r="E48" s="6" t="s">
        <v>4</v>
      </c>
      <c r="F48" s="6" t="s">
        <v>4</v>
      </c>
      <c r="G48" s="6" t="s">
        <v>3</v>
      </c>
      <c r="H48" s="6" t="s">
        <v>3</v>
      </c>
      <c r="I48" s="6" t="s">
        <v>2</v>
      </c>
      <c r="J48" s="6" t="s">
        <v>5</v>
      </c>
    </row>
    <row r="49" spans="1:10" x14ac:dyDescent="0.3">
      <c r="A49" s="6" t="s">
        <v>2</v>
      </c>
      <c r="B49" s="6" t="s">
        <v>2</v>
      </c>
      <c r="C49" s="6" t="s">
        <v>2</v>
      </c>
      <c r="D49" s="6" t="s">
        <v>3</v>
      </c>
      <c r="E49" s="6" t="s">
        <v>4</v>
      </c>
      <c r="F49" s="6" t="s">
        <v>4</v>
      </c>
      <c r="G49" s="6" t="s">
        <v>3</v>
      </c>
      <c r="H49" s="6" t="s">
        <v>4</v>
      </c>
      <c r="I49" s="6" t="s">
        <v>4</v>
      </c>
      <c r="J49" s="6" t="s">
        <v>5</v>
      </c>
    </row>
    <row r="50" spans="1:10" x14ac:dyDescent="0.3">
      <c r="A50" s="6" t="s">
        <v>2</v>
      </c>
      <c r="B50" s="6" t="s">
        <v>2</v>
      </c>
      <c r="C50" s="6" t="s">
        <v>2</v>
      </c>
      <c r="D50" s="6" t="s">
        <v>3</v>
      </c>
      <c r="E50" s="6" t="s">
        <v>4</v>
      </c>
      <c r="F50" s="6" t="s">
        <v>4</v>
      </c>
      <c r="G50" s="6" t="s">
        <v>4</v>
      </c>
      <c r="H50" s="6" t="s">
        <v>3</v>
      </c>
      <c r="I50" s="6" t="s">
        <v>4</v>
      </c>
      <c r="J50" s="6" t="s">
        <v>5</v>
      </c>
    </row>
    <row r="51" spans="1:10" x14ac:dyDescent="0.3">
      <c r="A51" s="6" t="s">
        <v>2</v>
      </c>
      <c r="B51" s="6" t="s">
        <v>2</v>
      </c>
      <c r="C51" s="6" t="s">
        <v>2</v>
      </c>
      <c r="D51" s="6" t="s">
        <v>3</v>
      </c>
      <c r="E51" s="6" t="s">
        <v>4</v>
      </c>
      <c r="F51" s="6" t="s">
        <v>4</v>
      </c>
      <c r="G51" s="6" t="s">
        <v>4</v>
      </c>
      <c r="H51" s="6" t="s">
        <v>4</v>
      </c>
      <c r="I51" s="6" t="s">
        <v>3</v>
      </c>
      <c r="J51" s="6" t="s">
        <v>5</v>
      </c>
    </row>
    <row r="52" spans="1:10" x14ac:dyDescent="0.3">
      <c r="A52" s="6" t="s">
        <v>2</v>
      </c>
      <c r="B52" s="6" t="s">
        <v>2</v>
      </c>
      <c r="C52" s="6" t="s">
        <v>2</v>
      </c>
      <c r="D52" s="6" t="s">
        <v>4</v>
      </c>
      <c r="E52" s="6" t="s">
        <v>2</v>
      </c>
      <c r="F52" s="6" t="s">
        <v>3</v>
      </c>
      <c r="G52" s="6" t="s">
        <v>3</v>
      </c>
      <c r="H52" s="6" t="s">
        <v>3</v>
      </c>
      <c r="I52" s="6" t="s">
        <v>4</v>
      </c>
      <c r="J52" s="6" t="s">
        <v>5</v>
      </c>
    </row>
    <row r="53" spans="1:10" x14ac:dyDescent="0.3">
      <c r="A53" s="6" t="s">
        <v>2</v>
      </c>
      <c r="B53" s="6" t="s">
        <v>2</v>
      </c>
      <c r="C53" s="6" t="s">
        <v>2</v>
      </c>
      <c r="D53" s="6" t="s">
        <v>4</v>
      </c>
      <c r="E53" s="6" t="s">
        <v>2</v>
      </c>
      <c r="F53" s="6" t="s">
        <v>3</v>
      </c>
      <c r="G53" s="6" t="s">
        <v>3</v>
      </c>
      <c r="H53" s="6" t="s">
        <v>4</v>
      </c>
      <c r="I53" s="6" t="s">
        <v>3</v>
      </c>
      <c r="J53" s="6" t="s">
        <v>5</v>
      </c>
    </row>
    <row r="54" spans="1:10" x14ac:dyDescent="0.3">
      <c r="A54" s="6" t="s">
        <v>2</v>
      </c>
      <c r="B54" s="6" t="s">
        <v>2</v>
      </c>
      <c r="C54" s="6" t="s">
        <v>2</v>
      </c>
      <c r="D54" s="6" t="s">
        <v>4</v>
      </c>
      <c r="E54" s="6" t="s">
        <v>2</v>
      </c>
      <c r="F54" s="6" t="s">
        <v>3</v>
      </c>
      <c r="G54" s="6" t="s">
        <v>4</v>
      </c>
      <c r="H54" s="6" t="s">
        <v>3</v>
      </c>
      <c r="I54" s="6" t="s">
        <v>3</v>
      </c>
      <c r="J54" s="6" t="s">
        <v>5</v>
      </c>
    </row>
    <row r="55" spans="1:10" x14ac:dyDescent="0.3">
      <c r="A55" s="6" t="s">
        <v>2</v>
      </c>
      <c r="B55" s="6" t="s">
        <v>2</v>
      </c>
      <c r="C55" s="6" t="s">
        <v>2</v>
      </c>
      <c r="D55" s="6" t="s">
        <v>4</v>
      </c>
      <c r="E55" s="6" t="s">
        <v>3</v>
      </c>
      <c r="F55" s="6" t="s">
        <v>2</v>
      </c>
      <c r="G55" s="6" t="s">
        <v>3</v>
      </c>
      <c r="H55" s="6" t="s">
        <v>3</v>
      </c>
      <c r="I55" s="6" t="s">
        <v>4</v>
      </c>
      <c r="J55" s="6" t="s">
        <v>5</v>
      </c>
    </row>
    <row r="56" spans="1:10" x14ac:dyDescent="0.3">
      <c r="A56" s="6" t="s">
        <v>2</v>
      </c>
      <c r="B56" s="6" t="s">
        <v>2</v>
      </c>
      <c r="C56" s="6" t="s">
        <v>2</v>
      </c>
      <c r="D56" s="6" t="s">
        <v>4</v>
      </c>
      <c r="E56" s="6" t="s">
        <v>3</v>
      </c>
      <c r="F56" s="6" t="s">
        <v>2</v>
      </c>
      <c r="G56" s="6" t="s">
        <v>3</v>
      </c>
      <c r="H56" s="6" t="s">
        <v>4</v>
      </c>
      <c r="I56" s="6" t="s">
        <v>3</v>
      </c>
      <c r="J56" s="6" t="s">
        <v>5</v>
      </c>
    </row>
    <row r="57" spans="1:10" x14ac:dyDescent="0.3">
      <c r="A57" s="6" t="s">
        <v>2</v>
      </c>
      <c r="B57" s="6" t="s">
        <v>2</v>
      </c>
      <c r="C57" s="6" t="s">
        <v>2</v>
      </c>
      <c r="D57" s="6" t="s">
        <v>4</v>
      </c>
      <c r="E57" s="6" t="s">
        <v>3</v>
      </c>
      <c r="F57" s="6" t="s">
        <v>2</v>
      </c>
      <c r="G57" s="6" t="s">
        <v>4</v>
      </c>
      <c r="H57" s="6" t="s">
        <v>3</v>
      </c>
      <c r="I57" s="6" t="s">
        <v>3</v>
      </c>
      <c r="J57" s="6" t="s">
        <v>5</v>
      </c>
    </row>
    <row r="58" spans="1:10" x14ac:dyDescent="0.3">
      <c r="A58" s="6" t="s">
        <v>2</v>
      </c>
      <c r="B58" s="6" t="s">
        <v>2</v>
      </c>
      <c r="C58" s="6" t="s">
        <v>2</v>
      </c>
      <c r="D58" s="6" t="s">
        <v>4</v>
      </c>
      <c r="E58" s="6" t="s">
        <v>3</v>
      </c>
      <c r="F58" s="6" t="s">
        <v>3</v>
      </c>
      <c r="G58" s="6" t="s">
        <v>2</v>
      </c>
      <c r="H58" s="6" t="s">
        <v>3</v>
      </c>
      <c r="I58" s="6" t="s">
        <v>4</v>
      </c>
      <c r="J58" s="6" t="s">
        <v>5</v>
      </c>
    </row>
    <row r="59" spans="1:10" x14ac:dyDescent="0.3">
      <c r="A59" s="6" t="s">
        <v>2</v>
      </c>
      <c r="B59" s="6" t="s">
        <v>2</v>
      </c>
      <c r="C59" s="6" t="s">
        <v>2</v>
      </c>
      <c r="D59" s="6" t="s">
        <v>4</v>
      </c>
      <c r="E59" s="6" t="s">
        <v>3</v>
      </c>
      <c r="F59" s="6" t="s">
        <v>3</v>
      </c>
      <c r="G59" s="6" t="s">
        <v>2</v>
      </c>
      <c r="H59" s="6" t="s">
        <v>4</v>
      </c>
      <c r="I59" s="6" t="s">
        <v>3</v>
      </c>
      <c r="J59" s="6" t="s">
        <v>5</v>
      </c>
    </row>
    <row r="60" spans="1:10" x14ac:dyDescent="0.3">
      <c r="A60" s="6" t="s">
        <v>2</v>
      </c>
      <c r="B60" s="6" t="s">
        <v>2</v>
      </c>
      <c r="C60" s="6" t="s">
        <v>2</v>
      </c>
      <c r="D60" s="6" t="s">
        <v>4</v>
      </c>
      <c r="E60" s="6" t="s">
        <v>3</v>
      </c>
      <c r="F60" s="6" t="s">
        <v>3</v>
      </c>
      <c r="G60" s="6" t="s">
        <v>3</v>
      </c>
      <c r="H60" s="6" t="s">
        <v>2</v>
      </c>
      <c r="I60" s="6" t="s">
        <v>4</v>
      </c>
      <c r="J60" s="6" t="s">
        <v>5</v>
      </c>
    </row>
    <row r="61" spans="1:10" x14ac:dyDescent="0.3">
      <c r="A61" s="6" t="s">
        <v>2</v>
      </c>
      <c r="B61" s="6" t="s">
        <v>2</v>
      </c>
      <c r="C61" s="6" t="s">
        <v>2</v>
      </c>
      <c r="D61" s="6" t="s">
        <v>4</v>
      </c>
      <c r="E61" s="6" t="s">
        <v>3</v>
      </c>
      <c r="F61" s="6" t="s">
        <v>3</v>
      </c>
      <c r="G61" s="6" t="s">
        <v>3</v>
      </c>
      <c r="H61" s="6" t="s">
        <v>4</v>
      </c>
      <c r="I61" s="6" t="s">
        <v>2</v>
      </c>
      <c r="J61" s="6" t="s">
        <v>5</v>
      </c>
    </row>
    <row r="62" spans="1:10" x14ac:dyDescent="0.3">
      <c r="A62" s="6" t="s">
        <v>2</v>
      </c>
      <c r="B62" s="6" t="s">
        <v>2</v>
      </c>
      <c r="C62" s="6" t="s">
        <v>2</v>
      </c>
      <c r="D62" s="6" t="s">
        <v>4</v>
      </c>
      <c r="E62" s="6" t="s">
        <v>3</v>
      </c>
      <c r="F62" s="6" t="s">
        <v>3</v>
      </c>
      <c r="G62" s="6" t="s">
        <v>4</v>
      </c>
      <c r="H62" s="6" t="s">
        <v>2</v>
      </c>
      <c r="I62" s="6" t="s">
        <v>3</v>
      </c>
      <c r="J62" s="6" t="s">
        <v>5</v>
      </c>
    </row>
    <row r="63" spans="1:10" x14ac:dyDescent="0.3">
      <c r="A63" s="6" t="s">
        <v>2</v>
      </c>
      <c r="B63" s="6" t="s">
        <v>2</v>
      </c>
      <c r="C63" s="6" t="s">
        <v>2</v>
      </c>
      <c r="D63" s="6" t="s">
        <v>4</v>
      </c>
      <c r="E63" s="6" t="s">
        <v>3</v>
      </c>
      <c r="F63" s="6" t="s">
        <v>3</v>
      </c>
      <c r="G63" s="6" t="s">
        <v>4</v>
      </c>
      <c r="H63" s="6" t="s">
        <v>3</v>
      </c>
      <c r="I63" s="6" t="s">
        <v>2</v>
      </c>
      <c r="J63" s="6" t="s">
        <v>5</v>
      </c>
    </row>
    <row r="64" spans="1:10" x14ac:dyDescent="0.3">
      <c r="A64" s="6" t="s">
        <v>2</v>
      </c>
      <c r="B64" s="6" t="s">
        <v>2</v>
      </c>
      <c r="C64" s="6" t="s">
        <v>2</v>
      </c>
      <c r="D64" s="6" t="s">
        <v>4</v>
      </c>
      <c r="E64" s="6" t="s">
        <v>3</v>
      </c>
      <c r="F64" s="6" t="s">
        <v>3</v>
      </c>
      <c r="G64" s="6" t="s">
        <v>4</v>
      </c>
      <c r="H64" s="6" t="s">
        <v>4</v>
      </c>
      <c r="I64" s="6" t="s">
        <v>4</v>
      </c>
      <c r="J64" s="6" t="s">
        <v>5</v>
      </c>
    </row>
    <row r="65" spans="1:10" x14ac:dyDescent="0.3">
      <c r="A65" s="6" t="s">
        <v>2</v>
      </c>
      <c r="B65" s="6" t="s">
        <v>2</v>
      </c>
      <c r="C65" s="6" t="s">
        <v>2</v>
      </c>
      <c r="D65" s="6" t="s">
        <v>4</v>
      </c>
      <c r="E65" s="6" t="s">
        <v>3</v>
      </c>
      <c r="F65" s="6" t="s">
        <v>4</v>
      </c>
      <c r="G65" s="6" t="s">
        <v>2</v>
      </c>
      <c r="H65" s="6" t="s">
        <v>3</v>
      </c>
      <c r="I65" s="6" t="s">
        <v>3</v>
      </c>
      <c r="J65" s="6" t="s">
        <v>5</v>
      </c>
    </row>
    <row r="66" spans="1:10" x14ac:dyDescent="0.3">
      <c r="A66" s="6" t="s">
        <v>2</v>
      </c>
      <c r="B66" s="6" t="s">
        <v>2</v>
      </c>
      <c r="C66" s="6" t="s">
        <v>2</v>
      </c>
      <c r="D66" s="6" t="s">
        <v>4</v>
      </c>
      <c r="E66" s="6" t="s">
        <v>3</v>
      </c>
      <c r="F66" s="6" t="s">
        <v>4</v>
      </c>
      <c r="G66" s="6" t="s">
        <v>3</v>
      </c>
      <c r="H66" s="6" t="s">
        <v>2</v>
      </c>
      <c r="I66" s="6" t="s">
        <v>3</v>
      </c>
      <c r="J66" s="6" t="s">
        <v>5</v>
      </c>
    </row>
    <row r="67" spans="1:10" x14ac:dyDescent="0.3">
      <c r="A67" s="6" t="s">
        <v>2</v>
      </c>
      <c r="B67" s="6" t="s">
        <v>2</v>
      </c>
      <c r="C67" s="6" t="s">
        <v>2</v>
      </c>
      <c r="D67" s="6" t="s">
        <v>4</v>
      </c>
      <c r="E67" s="6" t="s">
        <v>3</v>
      </c>
      <c r="F67" s="6" t="s">
        <v>4</v>
      </c>
      <c r="G67" s="6" t="s">
        <v>3</v>
      </c>
      <c r="H67" s="6" t="s">
        <v>3</v>
      </c>
      <c r="I67" s="6" t="s">
        <v>2</v>
      </c>
      <c r="J67" s="6" t="s">
        <v>5</v>
      </c>
    </row>
    <row r="68" spans="1:10" x14ac:dyDescent="0.3">
      <c r="A68" s="6" t="s">
        <v>2</v>
      </c>
      <c r="B68" s="6" t="s">
        <v>2</v>
      </c>
      <c r="C68" s="6" t="s">
        <v>2</v>
      </c>
      <c r="D68" s="6" t="s">
        <v>4</v>
      </c>
      <c r="E68" s="6" t="s">
        <v>3</v>
      </c>
      <c r="F68" s="6" t="s">
        <v>4</v>
      </c>
      <c r="G68" s="6" t="s">
        <v>3</v>
      </c>
      <c r="H68" s="6" t="s">
        <v>4</v>
      </c>
      <c r="I68" s="6" t="s">
        <v>4</v>
      </c>
      <c r="J68" s="6" t="s">
        <v>5</v>
      </c>
    </row>
    <row r="69" spans="1:10" x14ac:dyDescent="0.3">
      <c r="A69" s="6" t="s">
        <v>2</v>
      </c>
      <c r="B69" s="6" t="s">
        <v>2</v>
      </c>
      <c r="C69" s="6" t="s">
        <v>2</v>
      </c>
      <c r="D69" s="6" t="s">
        <v>4</v>
      </c>
      <c r="E69" s="6" t="s">
        <v>3</v>
      </c>
      <c r="F69" s="6" t="s">
        <v>4</v>
      </c>
      <c r="G69" s="6" t="s">
        <v>4</v>
      </c>
      <c r="H69" s="6" t="s">
        <v>3</v>
      </c>
      <c r="I69" s="6" t="s">
        <v>4</v>
      </c>
      <c r="J69" s="6" t="s">
        <v>5</v>
      </c>
    </row>
    <row r="70" spans="1:10" x14ac:dyDescent="0.3">
      <c r="A70" s="6" t="s">
        <v>2</v>
      </c>
      <c r="B70" s="6" t="s">
        <v>2</v>
      </c>
      <c r="C70" s="6" t="s">
        <v>2</v>
      </c>
      <c r="D70" s="6" t="s">
        <v>4</v>
      </c>
      <c r="E70" s="6" t="s">
        <v>3</v>
      </c>
      <c r="F70" s="6" t="s">
        <v>4</v>
      </c>
      <c r="G70" s="6" t="s">
        <v>4</v>
      </c>
      <c r="H70" s="6" t="s">
        <v>4</v>
      </c>
      <c r="I70" s="6" t="s">
        <v>3</v>
      </c>
      <c r="J70" s="6" t="s">
        <v>5</v>
      </c>
    </row>
    <row r="71" spans="1:10" x14ac:dyDescent="0.3">
      <c r="A71" s="6" t="s">
        <v>2</v>
      </c>
      <c r="B71" s="6" t="s">
        <v>2</v>
      </c>
      <c r="C71" s="6" t="s">
        <v>2</v>
      </c>
      <c r="D71" s="6" t="s">
        <v>4</v>
      </c>
      <c r="E71" s="6" t="s">
        <v>4</v>
      </c>
      <c r="F71" s="6" t="s">
        <v>3</v>
      </c>
      <c r="G71" s="6" t="s">
        <v>2</v>
      </c>
      <c r="H71" s="6" t="s">
        <v>3</v>
      </c>
      <c r="I71" s="6" t="s">
        <v>3</v>
      </c>
      <c r="J71" s="6" t="s">
        <v>5</v>
      </c>
    </row>
    <row r="72" spans="1:10" x14ac:dyDescent="0.3">
      <c r="A72" s="6" t="s">
        <v>2</v>
      </c>
      <c r="B72" s="6" t="s">
        <v>2</v>
      </c>
      <c r="C72" s="6" t="s">
        <v>2</v>
      </c>
      <c r="D72" s="6" t="s">
        <v>4</v>
      </c>
      <c r="E72" s="6" t="s">
        <v>4</v>
      </c>
      <c r="F72" s="6" t="s">
        <v>3</v>
      </c>
      <c r="G72" s="6" t="s">
        <v>3</v>
      </c>
      <c r="H72" s="6" t="s">
        <v>2</v>
      </c>
      <c r="I72" s="6" t="s">
        <v>3</v>
      </c>
      <c r="J72" s="6" t="s">
        <v>5</v>
      </c>
    </row>
    <row r="73" spans="1:10" x14ac:dyDescent="0.3">
      <c r="A73" s="6" t="s">
        <v>2</v>
      </c>
      <c r="B73" s="6" t="s">
        <v>2</v>
      </c>
      <c r="C73" s="6" t="s">
        <v>2</v>
      </c>
      <c r="D73" s="6" t="s">
        <v>4</v>
      </c>
      <c r="E73" s="6" t="s">
        <v>4</v>
      </c>
      <c r="F73" s="6" t="s">
        <v>3</v>
      </c>
      <c r="G73" s="6" t="s">
        <v>3</v>
      </c>
      <c r="H73" s="6" t="s">
        <v>3</v>
      </c>
      <c r="I73" s="6" t="s">
        <v>2</v>
      </c>
      <c r="J73" s="6" t="s">
        <v>5</v>
      </c>
    </row>
    <row r="74" spans="1:10" x14ac:dyDescent="0.3">
      <c r="A74" s="6" t="s">
        <v>2</v>
      </c>
      <c r="B74" s="6" t="s">
        <v>2</v>
      </c>
      <c r="C74" s="6" t="s">
        <v>2</v>
      </c>
      <c r="D74" s="6" t="s">
        <v>4</v>
      </c>
      <c r="E74" s="6" t="s">
        <v>4</v>
      </c>
      <c r="F74" s="6" t="s">
        <v>3</v>
      </c>
      <c r="G74" s="6" t="s">
        <v>3</v>
      </c>
      <c r="H74" s="6" t="s">
        <v>4</v>
      </c>
      <c r="I74" s="6" t="s">
        <v>4</v>
      </c>
      <c r="J74" s="6" t="s">
        <v>5</v>
      </c>
    </row>
    <row r="75" spans="1:10" x14ac:dyDescent="0.3">
      <c r="A75" s="6" t="s">
        <v>2</v>
      </c>
      <c r="B75" s="6" t="s">
        <v>2</v>
      </c>
      <c r="C75" s="6" t="s">
        <v>2</v>
      </c>
      <c r="D75" s="6" t="s">
        <v>4</v>
      </c>
      <c r="E75" s="6" t="s">
        <v>4</v>
      </c>
      <c r="F75" s="6" t="s">
        <v>3</v>
      </c>
      <c r="G75" s="6" t="s">
        <v>4</v>
      </c>
      <c r="H75" s="6" t="s">
        <v>3</v>
      </c>
      <c r="I75" s="6" t="s">
        <v>4</v>
      </c>
      <c r="J75" s="6" t="s">
        <v>5</v>
      </c>
    </row>
    <row r="76" spans="1:10" x14ac:dyDescent="0.3">
      <c r="A76" s="6" t="s">
        <v>2</v>
      </c>
      <c r="B76" s="6" t="s">
        <v>2</v>
      </c>
      <c r="C76" s="6" t="s">
        <v>2</v>
      </c>
      <c r="D76" s="6" t="s">
        <v>4</v>
      </c>
      <c r="E76" s="6" t="s">
        <v>4</v>
      </c>
      <c r="F76" s="6" t="s">
        <v>3</v>
      </c>
      <c r="G76" s="6" t="s">
        <v>4</v>
      </c>
      <c r="H76" s="6" t="s">
        <v>4</v>
      </c>
      <c r="I76" s="6" t="s">
        <v>3</v>
      </c>
      <c r="J76" s="6" t="s">
        <v>5</v>
      </c>
    </row>
    <row r="77" spans="1:10" x14ac:dyDescent="0.3">
      <c r="A77" s="6" t="s">
        <v>2</v>
      </c>
      <c r="B77" s="6" t="s">
        <v>2</v>
      </c>
      <c r="C77" s="6" t="s">
        <v>2</v>
      </c>
      <c r="D77" s="6" t="s">
        <v>4</v>
      </c>
      <c r="E77" s="6" t="s">
        <v>4</v>
      </c>
      <c r="F77" s="6" t="s">
        <v>4</v>
      </c>
      <c r="G77" s="6" t="s">
        <v>3</v>
      </c>
      <c r="H77" s="6" t="s">
        <v>3</v>
      </c>
      <c r="I77" s="6" t="s">
        <v>4</v>
      </c>
      <c r="J77" s="6" t="s">
        <v>5</v>
      </c>
    </row>
    <row r="78" spans="1:10" x14ac:dyDescent="0.3">
      <c r="A78" s="6" t="s">
        <v>2</v>
      </c>
      <c r="B78" s="6" t="s">
        <v>2</v>
      </c>
      <c r="C78" s="6" t="s">
        <v>2</v>
      </c>
      <c r="D78" s="6" t="s">
        <v>4</v>
      </c>
      <c r="E78" s="6" t="s">
        <v>4</v>
      </c>
      <c r="F78" s="6" t="s">
        <v>4</v>
      </c>
      <c r="G78" s="6" t="s">
        <v>3</v>
      </c>
      <c r="H78" s="6" t="s">
        <v>4</v>
      </c>
      <c r="I78" s="6" t="s">
        <v>3</v>
      </c>
      <c r="J78" s="6" t="s">
        <v>5</v>
      </c>
    </row>
    <row r="79" spans="1:10" x14ac:dyDescent="0.3">
      <c r="A79" s="6" t="s">
        <v>2</v>
      </c>
      <c r="B79" s="6" t="s">
        <v>2</v>
      </c>
      <c r="C79" s="6" t="s">
        <v>2</v>
      </c>
      <c r="D79" s="6" t="s">
        <v>4</v>
      </c>
      <c r="E79" s="6" t="s">
        <v>4</v>
      </c>
      <c r="F79" s="6" t="s">
        <v>4</v>
      </c>
      <c r="G79" s="6" t="s">
        <v>4</v>
      </c>
      <c r="H79" s="6" t="s">
        <v>3</v>
      </c>
      <c r="I79" s="6" t="s">
        <v>3</v>
      </c>
      <c r="J79" s="6" t="s">
        <v>5</v>
      </c>
    </row>
    <row r="80" spans="1:10" x14ac:dyDescent="0.3">
      <c r="A80" s="6" t="s">
        <v>2</v>
      </c>
      <c r="B80" s="6" t="s">
        <v>2</v>
      </c>
      <c r="C80" s="6" t="s">
        <v>3</v>
      </c>
      <c r="D80" s="6" t="s">
        <v>2</v>
      </c>
      <c r="E80" s="6" t="s">
        <v>2</v>
      </c>
      <c r="F80" s="6" t="s">
        <v>3</v>
      </c>
      <c r="G80" s="6" t="s">
        <v>3</v>
      </c>
      <c r="H80" s="6" t="s">
        <v>3</v>
      </c>
      <c r="I80" s="6" t="s">
        <v>2</v>
      </c>
      <c r="J80" s="6" t="s">
        <v>5</v>
      </c>
    </row>
    <row r="81" spans="1:10" x14ac:dyDescent="0.3">
      <c r="A81" s="6" t="s">
        <v>2</v>
      </c>
      <c r="B81" s="6" t="s">
        <v>2</v>
      </c>
      <c r="C81" s="6" t="s">
        <v>3</v>
      </c>
      <c r="D81" s="6" t="s">
        <v>2</v>
      </c>
      <c r="E81" s="6" t="s">
        <v>3</v>
      </c>
      <c r="F81" s="6" t="s">
        <v>2</v>
      </c>
      <c r="G81" s="6" t="s">
        <v>2</v>
      </c>
      <c r="H81" s="6" t="s">
        <v>3</v>
      </c>
      <c r="I81" s="6" t="s">
        <v>3</v>
      </c>
      <c r="J81" s="6" t="s">
        <v>5</v>
      </c>
    </row>
    <row r="82" spans="1:10" x14ac:dyDescent="0.3">
      <c r="A82" s="6" t="s">
        <v>2</v>
      </c>
      <c r="B82" s="6" t="s">
        <v>2</v>
      </c>
      <c r="C82" s="6" t="s">
        <v>3</v>
      </c>
      <c r="D82" s="6" t="s">
        <v>2</v>
      </c>
      <c r="E82" s="6" t="s">
        <v>3</v>
      </c>
      <c r="F82" s="6" t="s">
        <v>3</v>
      </c>
      <c r="G82" s="6" t="s">
        <v>2</v>
      </c>
      <c r="H82" s="6" t="s">
        <v>3</v>
      </c>
      <c r="I82" s="6" t="s">
        <v>2</v>
      </c>
      <c r="J82" s="6" t="s">
        <v>5</v>
      </c>
    </row>
    <row r="83" spans="1:10" x14ac:dyDescent="0.3">
      <c r="A83" s="6" t="s">
        <v>2</v>
      </c>
      <c r="B83" s="6" t="s">
        <v>2</v>
      </c>
      <c r="C83" s="6" t="s">
        <v>3</v>
      </c>
      <c r="D83" s="6" t="s">
        <v>2</v>
      </c>
      <c r="E83" s="6" t="s">
        <v>3</v>
      </c>
      <c r="F83" s="6" t="s">
        <v>3</v>
      </c>
      <c r="G83" s="6" t="s">
        <v>2</v>
      </c>
      <c r="H83" s="6" t="s">
        <v>4</v>
      </c>
      <c r="I83" s="6" t="s">
        <v>4</v>
      </c>
      <c r="J83" s="6" t="s">
        <v>5</v>
      </c>
    </row>
    <row r="84" spans="1:10" x14ac:dyDescent="0.3">
      <c r="A84" s="6" t="s">
        <v>2</v>
      </c>
      <c r="B84" s="6" t="s">
        <v>2</v>
      </c>
      <c r="C84" s="6" t="s">
        <v>3</v>
      </c>
      <c r="D84" s="6" t="s">
        <v>2</v>
      </c>
      <c r="E84" s="6" t="s">
        <v>3</v>
      </c>
      <c r="F84" s="6" t="s">
        <v>4</v>
      </c>
      <c r="G84" s="6" t="s">
        <v>2</v>
      </c>
      <c r="H84" s="6" t="s">
        <v>3</v>
      </c>
      <c r="I84" s="6" t="s">
        <v>4</v>
      </c>
      <c r="J84" s="6" t="s">
        <v>5</v>
      </c>
    </row>
    <row r="85" spans="1:10" x14ac:dyDescent="0.3">
      <c r="A85" s="6" t="s">
        <v>2</v>
      </c>
      <c r="B85" s="6" t="s">
        <v>2</v>
      </c>
      <c r="C85" s="6" t="s">
        <v>3</v>
      </c>
      <c r="D85" s="6" t="s">
        <v>2</v>
      </c>
      <c r="E85" s="6" t="s">
        <v>3</v>
      </c>
      <c r="F85" s="6" t="s">
        <v>4</v>
      </c>
      <c r="G85" s="6" t="s">
        <v>2</v>
      </c>
      <c r="H85" s="6" t="s">
        <v>4</v>
      </c>
      <c r="I85" s="6" t="s">
        <v>3</v>
      </c>
      <c r="J85" s="6" t="s">
        <v>5</v>
      </c>
    </row>
    <row r="86" spans="1:10" x14ac:dyDescent="0.3">
      <c r="A86" s="6" t="s">
        <v>2</v>
      </c>
      <c r="B86" s="6" t="s">
        <v>2</v>
      </c>
      <c r="C86" s="6" t="s">
        <v>3</v>
      </c>
      <c r="D86" s="6" t="s">
        <v>2</v>
      </c>
      <c r="E86" s="6" t="s">
        <v>4</v>
      </c>
      <c r="F86" s="6" t="s">
        <v>3</v>
      </c>
      <c r="G86" s="6" t="s">
        <v>2</v>
      </c>
      <c r="H86" s="6" t="s">
        <v>3</v>
      </c>
      <c r="I86" s="6" t="s">
        <v>4</v>
      </c>
      <c r="J86" s="6" t="s">
        <v>5</v>
      </c>
    </row>
    <row r="87" spans="1:10" x14ac:dyDescent="0.3">
      <c r="A87" s="6" t="s">
        <v>2</v>
      </c>
      <c r="B87" s="6" t="s">
        <v>2</v>
      </c>
      <c r="C87" s="6" t="s">
        <v>3</v>
      </c>
      <c r="D87" s="6" t="s">
        <v>2</v>
      </c>
      <c r="E87" s="6" t="s">
        <v>4</v>
      </c>
      <c r="F87" s="6" t="s">
        <v>4</v>
      </c>
      <c r="G87" s="6" t="s">
        <v>2</v>
      </c>
      <c r="H87" s="6" t="s">
        <v>3</v>
      </c>
      <c r="I87" s="6" t="s">
        <v>3</v>
      </c>
      <c r="J87" s="6" t="s">
        <v>5</v>
      </c>
    </row>
    <row r="88" spans="1:10" x14ac:dyDescent="0.3">
      <c r="A88" s="6" t="s">
        <v>2</v>
      </c>
      <c r="B88" s="6" t="s">
        <v>2</v>
      </c>
      <c r="C88" s="6" t="s">
        <v>3</v>
      </c>
      <c r="D88" s="6" t="s">
        <v>3</v>
      </c>
      <c r="E88" s="6" t="s">
        <v>2</v>
      </c>
      <c r="F88" s="6" t="s">
        <v>2</v>
      </c>
      <c r="G88" s="6" t="s">
        <v>3</v>
      </c>
      <c r="H88" s="6" t="s">
        <v>2</v>
      </c>
      <c r="I88" s="6" t="s">
        <v>3</v>
      </c>
      <c r="J88" s="6" t="s">
        <v>5</v>
      </c>
    </row>
    <row r="89" spans="1:10" x14ac:dyDescent="0.3">
      <c r="A89" s="6" t="s">
        <v>2</v>
      </c>
      <c r="B89" s="6" t="s">
        <v>2</v>
      </c>
      <c r="C89" s="6" t="s">
        <v>3</v>
      </c>
      <c r="D89" s="6" t="s">
        <v>3</v>
      </c>
      <c r="E89" s="6" t="s">
        <v>2</v>
      </c>
      <c r="F89" s="6" t="s">
        <v>2</v>
      </c>
      <c r="G89" s="6" t="s">
        <v>3</v>
      </c>
      <c r="H89" s="6" t="s">
        <v>3</v>
      </c>
      <c r="I89" s="6" t="s">
        <v>2</v>
      </c>
      <c r="J89" s="6" t="s">
        <v>5</v>
      </c>
    </row>
    <row r="90" spans="1:10" x14ac:dyDescent="0.3">
      <c r="A90" s="6" t="s">
        <v>2</v>
      </c>
      <c r="B90" s="6" t="s">
        <v>2</v>
      </c>
      <c r="C90" s="6" t="s">
        <v>3</v>
      </c>
      <c r="D90" s="6" t="s">
        <v>3</v>
      </c>
      <c r="E90" s="6" t="s">
        <v>2</v>
      </c>
      <c r="F90" s="6" t="s">
        <v>3</v>
      </c>
      <c r="G90" s="6" t="s">
        <v>2</v>
      </c>
      <c r="H90" s="6" t="s">
        <v>3</v>
      </c>
      <c r="I90" s="6" t="s">
        <v>2</v>
      </c>
      <c r="J90" s="6" t="s">
        <v>5</v>
      </c>
    </row>
    <row r="91" spans="1:10" x14ac:dyDescent="0.3">
      <c r="A91" s="6" t="s">
        <v>2</v>
      </c>
      <c r="B91" s="6" t="s">
        <v>2</v>
      </c>
      <c r="C91" s="6" t="s">
        <v>3</v>
      </c>
      <c r="D91" s="6" t="s">
        <v>3</v>
      </c>
      <c r="E91" s="6" t="s">
        <v>2</v>
      </c>
      <c r="F91" s="6" t="s">
        <v>3</v>
      </c>
      <c r="G91" s="6" t="s">
        <v>3</v>
      </c>
      <c r="H91" s="6" t="s">
        <v>2</v>
      </c>
      <c r="I91" s="6" t="s">
        <v>2</v>
      </c>
      <c r="J91" s="6" t="s">
        <v>5</v>
      </c>
    </row>
    <row r="92" spans="1:10" x14ac:dyDescent="0.3">
      <c r="A92" s="6" t="s">
        <v>2</v>
      </c>
      <c r="B92" s="6" t="s">
        <v>2</v>
      </c>
      <c r="C92" s="6" t="s">
        <v>3</v>
      </c>
      <c r="D92" s="6" t="s">
        <v>3</v>
      </c>
      <c r="E92" s="6" t="s">
        <v>2</v>
      </c>
      <c r="F92" s="6" t="s">
        <v>3</v>
      </c>
      <c r="G92" s="6" t="s">
        <v>4</v>
      </c>
      <c r="H92" s="6" t="s">
        <v>2</v>
      </c>
      <c r="I92" s="6" t="s">
        <v>4</v>
      </c>
      <c r="J92" s="6" t="s">
        <v>5</v>
      </c>
    </row>
    <row r="93" spans="1:10" x14ac:dyDescent="0.3">
      <c r="A93" s="6" t="s">
        <v>2</v>
      </c>
      <c r="B93" s="6" t="s">
        <v>2</v>
      </c>
      <c r="C93" s="6" t="s">
        <v>3</v>
      </c>
      <c r="D93" s="6" t="s">
        <v>3</v>
      </c>
      <c r="E93" s="6" t="s">
        <v>2</v>
      </c>
      <c r="F93" s="6" t="s">
        <v>3</v>
      </c>
      <c r="G93" s="6" t="s">
        <v>4</v>
      </c>
      <c r="H93" s="6" t="s">
        <v>4</v>
      </c>
      <c r="I93" s="6" t="s">
        <v>2</v>
      </c>
      <c r="J93" s="6" t="s">
        <v>5</v>
      </c>
    </row>
    <row r="94" spans="1:10" x14ac:dyDescent="0.3">
      <c r="A94" s="6" t="s">
        <v>2</v>
      </c>
      <c r="B94" s="6" t="s">
        <v>2</v>
      </c>
      <c r="C94" s="6" t="s">
        <v>3</v>
      </c>
      <c r="D94" s="6" t="s">
        <v>3</v>
      </c>
      <c r="E94" s="6" t="s">
        <v>2</v>
      </c>
      <c r="F94" s="6" t="s">
        <v>4</v>
      </c>
      <c r="G94" s="6" t="s">
        <v>3</v>
      </c>
      <c r="H94" s="6" t="s">
        <v>2</v>
      </c>
      <c r="I94" s="6" t="s">
        <v>4</v>
      </c>
      <c r="J94" s="6" t="s">
        <v>5</v>
      </c>
    </row>
    <row r="95" spans="1:10" x14ac:dyDescent="0.3">
      <c r="A95" s="6" t="s">
        <v>2</v>
      </c>
      <c r="B95" s="6" t="s">
        <v>2</v>
      </c>
      <c r="C95" s="6" t="s">
        <v>3</v>
      </c>
      <c r="D95" s="6" t="s">
        <v>3</v>
      </c>
      <c r="E95" s="6" t="s">
        <v>2</v>
      </c>
      <c r="F95" s="6" t="s">
        <v>4</v>
      </c>
      <c r="G95" s="6" t="s">
        <v>3</v>
      </c>
      <c r="H95" s="6" t="s">
        <v>4</v>
      </c>
      <c r="I95" s="6" t="s">
        <v>2</v>
      </c>
      <c r="J95" s="6" t="s">
        <v>5</v>
      </c>
    </row>
    <row r="96" spans="1:10" x14ac:dyDescent="0.3">
      <c r="A96" s="6" t="s">
        <v>2</v>
      </c>
      <c r="B96" s="6" t="s">
        <v>2</v>
      </c>
      <c r="C96" s="6" t="s">
        <v>3</v>
      </c>
      <c r="D96" s="6" t="s">
        <v>3</v>
      </c>
      <c r="E96" s="6" t="s">
        <v>2</v>
      </c>
      <c r="F96" s="6" t="s">
        <v>4</v>
      </c>
      <c r="G96" s="6" t="s">
        <v>4</v>
      </c>
      <c r="H96" s="6" t="s">
        <v>2</v>
      </c>
      <c r="I96" s="6" t="s">
        <v>3</v>
      </c>
      <c r="J96" s="6" t="s">
        <v>5</v>
      </c>
    </row>
    <row r="97" spans="1:10" x14ac:dyDescent="0.3">
      <c r="A97" s="6" t="s">
        <v>2</v>
      </c>
      <c r="B97" s="6" t="s">
        <v>2</v>
      </c>
      <c r="C97" s="6" t="s">
        <v>3</v>
      </c>
      <c r="D97" s="6" t="s">
        <v>3</v>
      </c>
      <c r="E97" s="6" t="s">
        <v>2</v>
      </c>
      <c r="F97" s="6" t="s">
        <v>4</v>
      </c>
      <c r="G97" s="6" t="s">
        <v>4</v>
      </c>
      <c r="H97" s="6" t="s">
        <v>3</v>
      </c>
      <c r="I97" s="6" t="s">
        <v>2</v>
      </c>
      <c r="J97" s="6" t="s">
        <v>5</v>
      </c>
    </row>
    <row r="98" spans="1:10" x14ac:dyDescent="0.3">
      <c r="A98" s="6" t="s">
        <v>2</v>
      </c>
      <c r="B98" s="6" t="s">
        <v>2</v>
      </c>
      <c r="C98" s="6" t="s">
        <v>3</v>
      </c>
      <c r="D98" s="6" t="s">
        <v>4</v>
      </c>
      <c r="E98" s="6" t="s">
        <v>2</v>
      </c>
      <c r="F98" s="6" t="s">
        <v>3</v>
      </c>
      <c r="G98" s="6" t="s">
        <v>3</v>
      </c>
      <c r="H98" s="6" t="s">
        <v>2</v>
      </c>
      <c r="I98" s="6" t="s">
        <v>4</v>
      </c>
      <c r="J98" s="6" t="s">
        <v>5</v>
      </c>
    </row>
    <row r="99" spans="1:10" x14ac:dyDescent="0.3">
      <c r="A99" s="6" t="s">
        <v>2</v>
      </c>
      <c r="B99" s="6" t="s">
        <v>2</v>
      </c>
      <c r="C99" s="6" t="s">
        <v>3</v>
      </c>
      <c r="D99" s="6" t="s">
        <v>4</v>
      </c>
      <c r="E99" s="6" t="s">
        <v>2</v>
      </c>
      <c r="F99" s="6" t="s">
        <v>3</v>
      </c>
      <c r="G99" s="6" t="s">
        <v>3</v>
      </c>
      <c r="H99" s="6" t="s">
        <v>4</v>
      </c>
      <c r="I99" s="6" t="s">
        <v>2</v>
      </c>
      <c r="J99" s="6" t="s">
        <v>5</v>
      </c>
    </row>
    <row r="100" spans="1:10" x14ac:dyDescent="0.3">
      <c r="A100" s="6" t="s">
        <v>2</v>
      </c>
      <c r="B100" s="6" t="s">
        <v>2</v>
      </c>
      <c r="C100" s="6" t="s">
        <v>3</v>
      </c>
      <c r="D100" s="6" t="s">
        <v>4</v>
      </c>
      <c r="E100" s="6" t="s">
        <v>2</v>
      </c>
      <c r="F100" s="6" t="s">
        <v>3</v>
      </c>
      <c r="G100" s="6" t="s">
        <v>4</v>
      </c>
      <c r="H100" s="6" t="s">
        <v>3</v>
      </c>
      <c r="I100" s="6" t="s">
        <v>2</v>
      </c>
      <c r="J100" s="6" t="s">
        <v>5</v>
      </c>
    </row>
    <row r="101" spans="1:10" x14ac:dyDescent="0.3">
      <c r="A101" s="6" t="s">
        <v>2</v>
      </c>
      <c r="B101" s="6" t="s">
        <v>2</v>
      </c>
      <c r="C101" s="6" t="s">
        <v>3</v>
      </c>
      <c r="D101" s="6" t="s">
        <v>4</v>
      </c>
      <c r="E101" s="6" t="s">
        <v>2</v>
      </c>
      <c r="F101" s="6" t="s">
        <v>4</v>
      </c>
      <c r="G101" s="6" t="s">
        <v>3</v>
      </c>
      <c r="H101" s="6" t="s">
        <v>2</v>
      </c>
      <c r="I101" s="6" t="s">
        <v>3</v>
      </c>
      <c r="J101" s="6" t="s">
        <v>5</v>
      </c>
    </row>
    <row r="102" spans="1:10" x14ac:dyDescent="0.3">
      <c r="A102" s="6" t="s">
        <v>2</v>
      </c>
      <c r="B102" s="6" t="s">
        <v>2</v>
      </c>
      <c r="C102" s="6" t="s">
        <v>3</v>
      </c>
      <c r="D102" s="6" t="s">
        <v>4</v>
      </c>
      <c r="E102" s="6" t="s">
        <v>2</v>
      </c>
      <c r="F102" s="6" t="s">
        <v>4</v>
      </c>
      <c r="G102" s="6" t="s">
        <v>3</v>
      </c>
      <c r="H102" s="6" t="s">
        <v>3</v>
      </c>
      <c r="I102" s="6" t="s">
        <v>2</v>
      </c>
      <c r="J102" s="6" t="s">
        <v>5</v>
      </c>
    </row>
    <row r="103" spans="1:10" x14ac:dyDescent="0.3">
      <c r="A103" s="6" t="s">
        <v>2</v>
      </c>
      <c r="B103" s="6" t="s">
        <v>2</v>
      </c>
      <c r="C103" s="6" t="s">
        <v>4</v>
      </c>
      <c r="D103" s="6" t="s">
        <v>2</v>
      </c>
      <c r="E103" s="6" t="s">
        <v>3</v>
      </c>
      <c r="F103" s="6" t="s">
        <v>3</v>
      </c>
      <c r="G103" s="6" t="s">
        <v>2</v>
      </c>
      <c r="H103" s="6" t="s">
        <v>3</v>
      </c>
      <c r="I103" s="6" t="s">
        <v>4</v>
      </c>
      <c r="J103" s="6" t="s">
        <v>5</v>
      </c>
    </row>
    <row r="104" spans="1:10" x14ac:dyDescent="0.3">
      <c r="A104" s="6" t="s">
        <v>2</v>
      </c>
      <c r="B104" s="6" t="s">
        <v>2</v>
      </c>
      <c r="C104" s="6" t="s">
        <v>4</v>
      </c>
      <c r="D104" s="6" t="s">
        <v>2</v>
      </c>
      <c r="E104" s="6" t="s">
        <v>3</v>
      </c>
      <c r="F104" s="6" t="s">
        <v>3</v>
      </c>
      <c r="G104" s="6" t="s">
        <v>2</v>
      </c>
      <c r="H104" s="6" t="s">
        <v>4</v>
      </c>
      <c r="I104" s="6" t="s">
        <v>3</v>
      </c>
      <c r="J104" s="6" t="s">
        <v>5</v>
      </c>
    </row>
    <row r="105" spans="1:10" x14ac:dyDescent="0.3">
      <c r="A105" s="6" t="s">
        <v>2</v>
      </c>
      <c r="B105" s="6" t="s">
        <v>2</v>
      </c>
      <c r="C105" s="6" t="s">
        <v>4</v>
      </c>
      <c r="D105" s="6" t="s">
        <v>2</v>
      </c>
      <c r="E105" s="6" t="s">
        <v>3</v>
      </c>
      <c r="F105" s="6" t="s">
        <v>4</v>
      </c>
      <c r="G105" s="6" t="s">
        <v>2</v>
      </c>
      <c r="H105" s="6" t="s">
        <v>3</v>
      </c>
      <c r="I105" s="6" t="s">
        <v>3</v>
      </c>
      <c r="J105" s="6" t="s">
        <v>5</v>
      </c>
    </row>
    <row r="106" spans="1:10" x14ac:dyDescent="0.3">
      <c r="A106" s="6" t="s">
        <v>2</v>
      </c>
      <c r="B106" s="6" t="s">
        <v>2</v>
      </c>
      <c r="C106" s="6" t="s">
        <v>4</v>
      </c>
      <c r="D106" s="6" t="s">
        <v>2</v>
      </c>
      <c r="E106" s="6" t="s">
        <v>4</v>
      </c>
      <c r="F106" s="6" t="s">
        <v>3</v>
      </c>
      <c r="G106" s="6" t="s">
        <v>2</v>
      </c>
      <c r="H106" s="6" t="s">
        <v>3</v>
      </c>
      <c r="I106" s="6" t="s">
        <v>3</v>
      </c>
      <c r="J106" s="6" t="s">
        <v>5</v>
      </c>
    </row>
    <row r="107" spans="1:10" x14ac:dyDescent="0.3">
      <c r="A107" s="6" t="s">
        <v>2</v>
      </c>
      <c r="B107" s="6" t="s">
        <v>2</v>
      </c>
      <c r="C107" s="6" t="s">
        <v>4</v>
      </c>
      <c r="D107" s="6" t="s">
        <v>3</v>
      </c>
      <c r="E107" s="6" t="s">
        <v>2</v>
      </c>
      <c r="F107" s="6" t="s">
        <v>3</v>
      </c>
      <c r="G107" s="6" t="s">
        <v>3</v>
      </c>
      <c r="H107" s="6" t="s">
        <v>2</v>
      </c>
      <c r="I107" s="6" t="s">
        <v>4</v>
      </c>
      <c r="J107" s="6" t="s">
        <v>5</v>
      </c>
    </row>
    <row r="108" spans="1:10" x14ac:dyDescent="0.3">
      <c r="A108" s="6" t="s">
        <v>2</v>
      </c>
      <c r="B108" s="6" t="s">
        <v>2</v>
      </c>
      <c r="C108" s="6" t="s">
        <v>4</v>
      </c>
      <c r="D108" s="6" t="s">
        <v>3</v>
      </c>
      <c r="E108" s="6" t="s">
        <v>2</v>
      </c>
      <c r="F108" s="6" t="s">
        <v>3</v>
      </c>
      <c r="G108" s="6" t="s">
        <v>3</v>
      </c>
      <c r="H108" s="6" t="s">
        <v>4</v>
      </c>
      <c r="I108" s="6" t="s">
        <v>2</v>
      </c>
      <c r="J108" s="6" t="s">
        <v>5</v>
      </c>
    </row>
    <row r="109" spans="1:10" x14ac:dyDescent="0.3">
      <c r="A109" s="6" t="s">
        <v>2</v>
      </c>
      <c r="B109" s="6" t="s">
        <v>2</v>
      </c>
      <c r="C109" s="6" t="s">
        <v>4</v>
      </c>
      <c r="D109" s="6" t="s">
        <v>3</v>
      </c>
      <c r="E109" s="6" t="s">
        <v>2</v>
      </c>
      <c r="F109" s="6" t="s">
        <v>3</v>
      </c>
      <c r="G109" s="6" t="s">
        <v>4</v>
      </c>
      <c r="H109" s="6" t="s">
        <v>2</v>
      </c>
      <c r="I109" s="6" t="s">
        <v>3</v>
      </c>
      <c r="J109" s="6" t="s">
        <v>5</v>
      </c>
    </row>
    <row r="110" spans="1:10" x14ac:dyDescent="0.3">
      <c r="A110" s="6" t="s">
        <v>2</v>
      </c>
      <c r="B110" s="6" t="s">
        <v>2</v>
      </c>
      <c r="C110" s="6" t="s">
        <v>4</v>
      </c>
      <c r="D110" s="6" t="s">
        <v>3</v>
      </c>
      <c r="E110" s="6" t="s">
        <v>2</v>
      </c>
      <c r="F110" s="6" t="s">
        <v>3</v>
      </c>
      <c r="G110" s="6" t="s">
        <v>4</v>
      </c>
      <c r="H110" s="6" t="s">
        <v>3</v>
      </c>
      <c r="I110" s="6" t="s">
        <v>2</v>
      </c>
      <c r="J110" s="6" t="s">
        <v>5</v>
      </c>
    </row>
    <row r="111" spans="1:10" x14ac:dyDescent="0.3">
      <c r="A111" s="6" t="s">
        <v>2</v>
      </c>
      <c r="B111" s="6" t="s">
        <v>2</v>
      </c>
      <c r="C111" s="6" t="s">
        <v>4</v>
      </c>
      <c r="D111" s="6" t="s">
        <v>3</v>
      </c>
      <c r="E111" s="6" t="s">
        <v>2</v>
      </c>
      <c r="F111" s="6" t="s">
        <v>4</v>
      </c>
      <c r="G111" s="6" t="s">
        <v>3</v>
      </c>
      <c r="H111" s="6" t="s">
        <v>2</v>
      </c>
      <c r="I111" s="6" t="s">
        <v>3</v>
      </c>
      <c r="J111" s="6" t="s">
        <v>5</v>
      </c>
    </row>
    <row r="112" spans="1:10" x14ac:dyDescent="0.3">
      <c r="A112" s="6" t="s">
        <v>2</v>
      </c>
      <c r="B112" s="6" t="s">
        <v>2</v>
      </c>
      <c r="C112" s="6" t="s">
        <v>4</v>
      </c>
      <c r="D112" s="6" t="s">
        <v>3</v>
      </c>
      <c r="E112" s="6" t="s">
        <v>2</v>
      </c>
      <c r="F112" s="6" t="s">
        <v>4</v>
      </c>
      <c r="G112" s="6" t="s">
        <v>3</v>
      </c>
      <c r="H112" s="6" t="s">
        <v>3</v>
      </c>
      <c r="I112" s="6" t="s">
        <v>2</v>
      </c>
      <c r="J112" s="6" t="s">
        <v>5</v>
      </c>
    </row>
    <row r="113" spans="1:10" x14ac:dyDescent="0.3">
      <c r="A113" s="6" t="s">
        <v>2</v>
      </c>
      <c r="B113" s="6" t="s">
        <v>2</v>
      </c>
      <c r="C113" s="6" t="s">
        <v>4</v>
      </c>
      <c r="D113" s="6" t="s">
        <v>4</v>
      </c>
      <c r="E113" s="6" t="s">
        <v>2</v>
      </c>
      <c r="F113" s="6" t="s">
        <v>3</v>
      </c>
      <c r="G113" s="6" t="s">
        <v>3</v>
      </c>
      <c r="H113" s="6" t="s">
        <v>2</v>
      </c>
      <c r="I113" s="6" t="s">
        <v>3</v>
      </c>
      <c r="J113" s="6" t="s">
        <v>5</v>
      </c>
    </row>
    <row r="114" spans="1:10" x14ac:dyDescent="0.3">
      <c r="A114" s="6" t="s">
        <v>2</v>
      </c>
      <c r="B114" s="6" t="s">
        <v>2</v>
      </c>
      <c r="C114" s="6" t="s">
        <v>4</v>
      </c>
      <c r="D114" s="6" t="s">
        <v>4</v>
      </c>
      <c r="E114" s="6" t="s">
        <v>2</v>
      </c>
      <c r="F114" s="6" t="s">
        <v>3</v>
      </c>
      <c r="G114" s="6" t="s">
        <v>3</v>
      </c>
      <c r="H114" s="6" t="s">
        <v>3</v>
      </c>
      <c r="I114" s="6" t="s">
        <v>2</v>
      </c>
      <c r="J114" s="6" t="s">
        <v>5</v>
      </c>
    </row>
    <row r="115" spans="1:10" x14ac:dyDescent="0.3">
      <c r="A115" s="6" t="s">
        <v>2</v>
      </c>
      <c r="B115" s="6" t="s">
        <v>3</v>
      </c>
      <c r="C115" s="6" t="s">
        <v>2</v>
      </c>
      <c r="D115" s="6" t="s">
        <v>2</v>
      </c>
      <c r="E115" s="6" t="s">
        <v>2</v>
      </c>
      <c r="F115" s="6" t="s">
        <v>3</v>
      </c>
      <c r="G115" s="6" t="s">
        <v>2</v>
      </c>
      <c r="H115" s="6" t="s">
        <v>3</v>
      </c>
      <c r="I115" s="6" t="s">
        <v>3</v>
      </c>
      <c r="J115" s="6" t="s">
        <v>5</v>
      </c>
    </row>
    <row r="116" spans="1:10" x14ac:dyDescent="0.3">
      <c r="A116" s="6" t="s">
        <v>2</v>
      </c>
      <c r="B116" s="6" t="s">
        <v>3</v>
      </c>
      <c r="C116" s="6" t="s">
        <v>2</v>
      </c>
      <c r="D116" s="6" t="s">
        <v>2</v>
      </c>
      <c r="E116" s="6" t="s">
        <v>2</v>
      </c>
      <c r="F116" s="6" t="s">
        <v>3</v>
      </c>
      <c r="G116" s="6" t="s">
        <v>3</v>
      </c>
      <c r="H116" s="6" t="s">
        <v>3</v>
      </c>
      <c r="I116" s="6" t="s">
        <v>2</v>
      </c>
      <c r="J116" s="6" t="s">
        <v>5</v>
      </c>
    </row>
    <row r="117" spans="1:10" x14ac:dyDescent="0.3">
      <c r="A117" s="6" t="s">
        <v>2</v>
      </c>
      <c r="B117" s="6" t="s">
        <v>3</v>
      </c>
      <c r="C117" s="6" t="s">
        <v>2</v>
      </c>
      <c r="D117" s="6" t="s">
        <v>2</v>
      </c>
      <c r="E117" s="6" t="s">
        <v>3</v>
      </c>
      <c r="F117" s="6" t="s">
        <v>3</v>
      </c>
      <c r="G117" s="6" t="s">
        <v>2</v>
      </c>
      <c r="H117" s="6" t="s">
        <v>2</v>
      </c>
      <c r="I117" s="6" t="s">
        <v>3</v>
      </c>
      <c r="J117" s="6" t="s">
        <v>5</v>
      </c>
    </row>
    <row r="118" spans="1:10" x14ac:dyDescent="0.3">
      <c r="A118" s="6" t="s">
        <v>2</v>
      </c>
      <c r="B118" s="6" t="s">
        <v>3</v>
      </c>
      <c r="C118" s="6" t="s">
        <v>2</v>
      </c>
      <c r="D118" s="6" t="s">
        <v>2</v>
      </c>
      <c r="E118" s="6" t="s">
        <v>3</v>
      </c>
      <c r="F118" s="6" t="s">
        <v>3</v>
      </c>
      <c r="G118" s="6" t="s">
        <v>2</v>
      </c>
      <c r="H118" s="6" t="s">
        <v>4</v>
      </c>
      <c r="I118" s="6" t="s">
        <v>4</v>
      </c>
      <c r="J118" s="6" t="s">
        <v>5</v>
      </c>
    </row>
    <row r="119" spans="1:10" x14ac:dyDescent="0.3">
      <c r="A119" s="6" t="s">
        <v>2</v>
      </c>
      <c r="B119" s="6" t="s">
        <v>3</v>
      </c>
      <c r="C119" s="6" t="s">
        <v>2</v>
      </c>
      <c r="D119" s="6" t="s">
        <v>2</v>
      </c>
      <c r="E119" s="6" t="s">
        <v>3</v>
      </c>
      <c r="F119" s="6" t="s">
        <v>4</v>
      </c>
      <c r="G119" s="6" t="s">
        <v>2</v>
      </c>
      <c r="H119" s="6" t="s">
        <v>4</v>
      </c>
      <c r="I119" s="6" t="s">
        <v>3</v>
      </c>
      <c r="J119" s="6" t="s">
        <v>5</v>
      </c>
    </row>
    <row r="120" spans="1:10" x14ac:dyDescent="0.3">
      <c r="A120" s="6" t="s">
        <v>2</v>
      </c>
      <c r="B120" s="6" t="s">
        <v>3</v>
      </c>
      <c r="C120" s="6" t="s">
        <v>2</v>
      </c>
      <c r="D120" s="6" t="s">
        <v>2</v>
      </c>
      <c r="E120" s="6" t="s">
        <v>4</v>
      </c>
      <c r="F120" s="6" t="s">
        <v>3</v>
      </c>
      <c r="G120" s="6" t="s">
        <v>2</v>
      </c>
      <c r="H120" s="6" t="s">
        <v>3</v>
      </c>
      <c r="I120" s="6" t="s">
        <v>4</v>
      </c>
      <c r="J120" s="6" t="s">
        <v>5</v>
      </c>
    </row>
    <row r="121" spans="1:10" x14ac:dyDescent="0.3">
      <c r="A121" s="6" t="s">
        <v>2</v>
      </c>
      <c r="B121" s="6" t="s">
        <v>3</v>
      </c>
      <c r="C121" s="6" t="s">
        <v>2</v>
      </c>
      <c r="D121" s="6" t="s">
        <v>2</v>
      </c>
      <c r="E121" s="6" t="s">
        <v>4</v>
      </c>
      <c r="F121" s="6" t="s">
        <v>3</v>
      </c>
      <c r="G121" s="6" t="s">
        <v>2</v>
      </c>
      <c r="H121" s="6" t="s">
        <v>4</v>
      </c>
      <c r="I121" s="6" t="s">
        <v>3</v>
      </c>
      <c r="J121" s="6" t="s">
        <v>5</v>
      </c>
    </row>
    <row r="122" spans="1:10" x14ac:dyDescent="0.3">
      <c r="A122" s="6" t="s">
        <v>2</v>
      </c>
      <c r="B122" s="6" t="s">
        <v>3</v>
      </c>
      <c r="C122" s="6" t="s">
        <v>2</v>
      </c>
      <c r="D122" s="6" t="s">
        <v>2</v>
      </c>
      <c r="E122" s="6" t="s">
        <v>4</v>
      </c>
      <c r="F122" s="6" t="s">
        <v>4</v>
      </c>
      <c r="G122" s="6" t="s">
        <v>2</v>
      </c>
      <c r="H122" s="6" t="s">
        <v>3</v>
      </c>
      <c r="I122" s="6" t="s">
        <v>3</v>
      </c>
      <c r="J122" s="6" t="s">
        <v>5</v>
      </c>
    </row>
    <row r="123" spans="1:10" x14ac:dyDescent="0.3">
      <c r="A123" s="6" t="s">
        <v>2</v>
      </c>
      <c r="B123" s="6" t="s">
        <v>3</v>
      </c>
      <c r="C123" s="6" t="s">
        <v>2</v>
      </c>
      <c r="D123" s="6" t="s">
        <v>3</v>
      </c>
      <c r="E123" s="6" t="s">
        <v>2</v>
      </c>
      <c r="F123" s="6" t="s">
        <v>2</v>
      </c>
      <c r="G123" s="6" t="s">
        <v>2</v>
      </c>
      <c r="H123" s="6" t="s">
        <v>3</v>
      </c>
      <c r="I123" s="6" t="s">
        <v>3</v>
      </c>
      <c r="J123" s="6" t="s">
        <v>5</v>
      </c>
    </row>
    <row r="124" spans="1:10" x14ac:dyDescent="0.3">
      <c r="A124" s="6" t="s">
        <v>2</v>
      </c>
      <c r="B124" s="6" t="s">
        <v>3</v>
      </c>
      <c r="C124" s="6" t="s">
        <v>2</v>
      </c>
      <c r="D124" s="6" t="s">
        <v>3</v>
      </c>
      <c r="E124" s="6" t="s">
        <v>2</v>
      </c>
      <c r="F124" s="6" t="s">
        <v>2</v>
      </c>
      <c r="G124" s="6" t="s">
        <v>3</v>
      </c>
      <c r="H124" s="6" t="s">
        <v>3</v>
      </c>
      <c r="I124" s="6" t="s">
        <v>2</v>
      </c>
      <c r="J124" s="6" t="s">
        <v>5</v>
      </c>
    </row>
    <row r="125" spans="1:10" x14ac:dyDescent="0.3">
      <c r="A125" s="6" t="s">
        <v>2</v>
      </c>
      <c r="B125" s="6" t="s">
        <v>3</v>
      </c>
      <c r="C125" s="6" t="s">
        <v>2</v>
      </c>
      <c r="D125" s="6" t="s">
        <v>3</v>
      </c>
      <c r="E125" s="6" t="s">
        <v>2</v>
      </c>
      <c r="F125" s="6" t="s">
        <v>3</v>
      </c>
      <c r="G125" s="6" t="s">
        <v>2</v>
      </c>
      <c r="H125" s="6" t="s">
        <v>2</v>
      </c>
      <c r="I125" s="6" t="s">
        <v>3</v>
      </c>
      <c r="J125" s="6" t="s">
        <v>5</v>
      </c>
    </row>
    <row r="126" spans="1:10" x14ac:dyDescent="0.3">
      <c r="A126" s="6" t="s">
        <v>2</v>
      </c>
      <c r="B126" s="6" t="s">
        <v>3</v>
      </c>
      <c r="C126" s="6" t="s">
        <v>2</v>
      </c>
      <c r="D126" s="6" t="s">
        <v>3</v>
      </c>
      <c r="E126" s="6" t="s">
        <v>2</v>
      </c>
      <c r="F126" s="6" t="s">
        <v>3</v>
      </c>
      <c r="G126" s="6" t="s">
        <v>2</v>
      </c>
      <c r="H126" s="6" t="s">
        <v>3</v>
      </c>
      <c r="I126" s="6" t="s">
        <v>2</v>
      </c>
      <c r="J126" s="6" t="s">
        <v>5</v>
      </c>
    </row>
    <row r="127" spans="1:10" x14ac:dyDescent="0.3">
      <c r="A127" s="6" t="s">
        <v>2</v>
      </c>
      <c r="B127" s="6" t="s">
        <v>3</v>
      </c>
      <c r="C127" s="6" t="s">
        <v>2</v>
      </c>
      <c r="D127" s="6" t="s">
        <v>3</v>
      </c>
      <c r="E127" s="6" t="s">
        <v>2</v>
      </c>
      <c r="F127" s="6" t="s">
        <v>3</v>
      </c>
      <c r="G127" s="6" t="s">
        <v>2</v>
      </c>
      <c r="H127" s="6" t="s">
        <v>4</v>
      </c>
      <c r="I127" s="6" t="s">
        <v>4</v>
      </c>
      <c r="J127" s="6" t="s">
        <v>5</v>
      </c>
    </row>
    <row r="128" spans="1:10" x14ac:dyDescent="0.3">
      <c r="A128" s="6" t="s">
        <v>2</v>
      </c>
      <c r="B128" s="6" t="s">
        <v>3</v>
      </c>
      <c r="C128" s="6" t="s">
        <v>2</v>
      </c>
      <c r="D128" s="6" t="s">
        <v>3</v>
      </c>
      <c r="E128" s="6" t="s">
        <v>2</v>
      </c>
      <c r="F128" s="6" t="s">
        <v>3</v>
      </c>
      <c r="G128" s="6" t="s">
        <v>3</v>
      </c>
      <c r="H128" s="6" t="s">
        <v>2</v>
      </c>
      <c r="I128" s="6" t="s">
        <v>2</v>
      </c>
      <c r="J128" s="6" t="s">
        <v>5</v>
      </c>
    </row>
    <row r="129" spans="1:10" x14ac:dyDescent="0.3">
      <c r="A129" s="6" t="s">
        <v>2</v>
      </c>
      <c r="B129" s="6" t="s">
        <v>3</v>
      </c>
      <c r="C129" s="6" t="s">
        <v>2</v>
      </c>
      <c r="D129" s="6" t="s">
        <v>3</v>
      </c>
      <c r="E129" s="6" t="s">
        <v>2</v>
      </c>
      <c r="F129" s="6" t="s">
        <v>3</v>
      </c>
      <c r="G129" s="6" t="s">
        <v>4</v>
      </c>
      <c r="H129" s="6" t="s">
        <v>4</v>
      </c>
      <c r="I129" s="6" t="s">
        <v>2</v>
      </c>
      <c r="J129" s="6" t="s">
        <v>5</v>
      </c>
    </row>
    <row r="130" spans="1:10" x14ac:dyDescent="0.3">
      <c r="A130" s="6" t="s">
        <v>2</v>
      </c>
      <c r="B130" s="6" t="s">
        <v>3</v>
      </c>
      <c r="C130" s="6" t="s">
        <v>2</v>
      </c>
      <c r="D130" s="6" t="s">
        <v>3</v>
      </c>
      <c r="E130" s="6" t="s">
        <v>2</v>
      </c>
      <c r="F130" s="6" t="s">
        <v>4</v>
      </c>
      <c r="G130" s="6" t="s">
        <v>2</v>
      </c>
      <c r="H130" s="6" t="s">
        <v>3</v>
      </c>
      <c r="I130" s="6" t="s">
        <v>4</v>
      </c>
      <c r="J130" s="6" t="s">
        <v>5</v>
      </c>
    </row>
    <row r="131" spans="1:10" x14ac:dyDescent="0.3">
      <c r="A131" s="6" t="s">
        <v>2</v>
      </c>
      <c r="B131" s="6" t="s">
        <v>3</v>
      </c>
      <c r="C131" s="6" t="s">
        <v>2</v>
      </c>
      <c r="D131" s="6" t="s">
        <v>3</v>
      </c>
      <c r="E131" s="6" t="s">
        <v>2</v>
      </c>
      <c r="F131" s="6" t="s">
        <v>4</v>
      </c>
      <c r="G131" s="6" t="s">
        <v>2</v>
      </c>
      <c r="H131" s="6" t="s">
        <v>4</v>
      </c>
      <c r="I131" s="6" t="s">
        <v>3</v>
      </c>
      <c r="J131" s="6" t="s">
        <v>5</v>
      </c>
    </row>
    <row r="132" spans="1:10" x14ac:dyDescent="0.3">
      <c r="A132" s="6" t="s">
        <v>2</v>
      </c>
      <c r="B132" s="6" t="s">
        <v>3</v>
      </c>
      <c r="C132" s="6" t="s">
        <v>2</v>
      </c>
      <c r="D132" s="6" t="s">
        <v>3</v>
      </c>
      <c r="E132" s="6" t="s">
        <v>2</v>
      </c>
      <c r="F132" s="6" t="s">
        <v>4</v>
      </c>
      <c r="G132" s="6" t="s">
        <v>3</v>
      </c>
      <c r="H132" s="6" t="s">
        <v>4</v>
      </c>
      <c r="I132" s="6" t="s">
        <v>2</v>
      </c>
      <c r="J132" s="6" t="s">
        <v>5</v>
      </c>
    </row>
    <row r="133" spans="1:10" x14ac:dyDescent="0.3">
      <c r="A133" s="6" t="s">
        <v>2</v>
      </c>
      <c r="B133" s="6" t="s">
        <v>3</v>
      </c>
      <c r="C133" s="6" t="s">
        <v>2</v>
      </c>
      <c r="D133" s="6" t="s">
        <v>3</v>
      </c>
      <c r="E133" s="6" t="s">
        <v>2</v>
      </c>
      <c r="F133" s="6" t="s">
        <v>4</v>
      </c>
      <c r="G133" s="6" t="s">
        <v>4</v>
      </c>
      <c r="H133" s="6" t="s">
        <v>3</v>
      </c>
      <c r="I133" s="6" t="s">
        <v>2</v>
      </c>
      <c r="J133" s="6" t="s">
        <v>5</v>
      </c>
    </row>
    <row r="134" spans="1:10" x14ac:dyDescent="0.3">
      <c r="A134" s="6" t="s">
        <v>2</v>
      </c>
      <c r="B134" s="6" t="s">
        <v>3</v>
      </c>
      <c r="C134" s="6" t="s">
        <v>2</v>
      </c>
      <c r="D134" s="6" t="s">
        <v>3</v>
      </c>
      <c r="E134" s="6" t="s">
        <v>3</v>
      </c>
      <c r="F134" s="6" t="s">
        <v>2</v>
      </c>
      <c r="G134" s="6" t="s">
        <v>3</v>
      </c>
      <c r="H134" s="6" t="s">
        <v>2</v>
      </c>
      <c r="I134" s="6" t="s">
        <v>2</v>
      </c>
      <c r="J134" s="6" t="s">
        <v>5</v>
      </c>
    </row>
    <row r="135" spans="1:10" x14ac:dyDescent="0.3">
      <c r="A135" s="6" t="s">
        <v>2</v>
      </c>
      <c r="B135" s="6" t="s">
        <v>3</v>
      </c>
      <c r="C135" s="6" t="s">
        <v>2</v>
      </c>
      <c r="D135" s="6" t="s">
        <v>3</v>
      </c>
      <c r="E135" s="6" t="s">
        <v>3</v>
      </c>
      <c r="F135" s="6" t="s">
        <v>2</v>
      </c>
      <c r="G135" s="6" t="s">
        <v>4</v>
      </c>
      <c r="H135" s="6" t="s">
        <v>4</v>
      </c>
      <c r="I135" s="6" t="s">
        <v>2</v>
      </c>
      <c r="J135" s="6" t="s">
        <v>5</v>
      </c>
    </row>
    <row r="136" spans="1:10" x14ac:dyDescent="0.3">
      <c r="A136" s="6" t="s">
        <v>2</v>
      </c>
      <c r="B136" s="6" t="s">
        <v>3</v>
      </c>
      <c r="C136" s="6" t="s">
        <v>2</v>
      </c>
      <c r="D136" s="6" t="s">
        <v>3</v>
      </c>
      <c r="E136" s="6" t="s">
        <v>4</v>
      </c>
      <c r="F136" s="6" t="s">
        <v>2</v>
      </c>
      <c r="G136" s="6" t="s">
        <v>3</v>
      </c>
      <c r="H136" s="6" t="s">
        <v>4</v>
      </c>
      <c r="I136" s="6" t="s">
        <v>2</v>
      </c>
      <c r="J136" s="6" t="s">
        <v>5</v>
      </c>
    </row>
    <row r="137" spans="1:10" x14ac:dyDescent="0.3">
      <c r="A137" s="6" t="s">
        <v>2</v>
      </c>
      <c r="B137" s="6" t="s">
        <v>3</v>
      </c>
      <c r="C137" s="6" t="s">
        <v>2</v>
      </c>
      <c r="D137" s="6" t="s">
        <v>3</v>
      </c>
      <c r="E137" s="6" t="s">
        <v>4</v>
      </c>
      <c r="F137" s="6" t="s">
        <v>2</v>
      </c>
      <c r="G137" s="6" t="s">
        <v>4</v>
      </c>
      <c r="H137" s="6" t="s">
        <v>3</v>
      </c>
      <c r="I137" s="6" t="s">
        <v>2</v>
      </c>
      <c r="J137" s="6" t="s">
        <v>5</v>
      </c>
    </row>
    <row r="138" spans="1:10" x14ac:dyDescent="0.3">
      <c r="A138" s="6" t="s">
        <v>2</v>
      </c>
      <c r="B138" s="6" t="s">
        <v>3</v>
      </c>
      <c r="C138" s="6" t="s">
        <v>2</v>
      </c>
      <c r="D138" s="6" t="s">
        <v>4</v>
      </c>
      <c r="E138" s="6" t="s">
        <v>2</v>
      </c>
      <c r="F138" s="6" t="s">
        <v>3</v>
      </c>
      <c r="G138" s="6" t="s">
        <v>2</v>
      </c>
      <c r="H138" s="6" t="s">
        <v>3</v>
      </c>
      <c r="I138" s="6" t="s">
        <v>4</v>
      </c>
      <c r="J138" s="6" t="s">
        <v>5</v>
      </c>
    </row>
    <row r="139" spans="1:10" x14ac:dyDescent="0.3">
      <c r="A139" s="6" t="s">
        <v>2</v>
      </c>
      <c r="B139" s="6" t="s">
        <v>3</v>
      </c>
      <c r="C139" s="6" t="s">
        <v>2</v>
      </c>
      <c r="D139" s="6" t="s">
        <v>4</v>
      </c>
      <c r="E139" s="6" t="s">
        <v>2</v>
      </c>
      <c r="F139" s="6" t="s">
        <v>3</v>
      </c>
      <c r="G139" s="6" t="s">
        <v>2</v>
      </c>
      <c r="H139" s="6" t="s">
        <v>4</v>
      </c>
      <c r="I139" s="6" t="s">
        <v>3</v>
      </c>
      <c r="J139" s="6" t="s">
        <v>5</v>
      </c>
    </row>
    <row r="140" spans="1:10" x14ac:dyDescent="0.3">
      <c r="A140" s="6" t="s">
        <v>2</v>
      </c>
      <c r="B140" s="6" t="s">
        <v>3</v>
      </c>
      <c r="C140" s="6" t="s">
        <v>2</v>
      </c>
      <c r="D140" s="6" t="s">
        <v>4</v>
      </c>
      <c r="E140" s="6" t="s">
        <v>2</v>
      </c>
      <c r="F140" s="6" t="s">
        <v>3</v>
      </c>
      <c r="G140" s="6" t="s">
        <v>3</v>
      </c>
      <c r="H140" s="6" t="s">
        <v>4</v>
      </c>
      <c r="I140" s="6" t="s">
        <v>2</v>
      </c>
      <c r="J140" s="6" t="s">
        <v>5</v>
      </c>
    </row>
    <row r="141" spans="1:10" x14ac:dyDescent="0.3">
      <c r="A141" s="6" t="s">
        <v>2</v>
      </c>
      <c r="B141" s="6" t="s">
        <v>3</v>
      </c>
      <c r="C141" s="6" t="s">
        <v>2</v>
      </c>
      <c r="D141" s="6" t="s">
        <v>4</v>
      </c>
      <c r="E141" s="6" t="s">
        <v>2</v>
      </c>
      <c r="F141" s="6" t="s">
        <v>3</v>
      </c>
      <c r="G141" s="6" t="s">
        <v>4</v>
      </c>
      <c r="H141" s="6" t="s">
        <v>3</v>
      </c>
      <c r="I141" s="6" t="s">
        <v>2</v>
      </c>
      <c r="J141" s="6" t="s">
        <v>5</v>
      </c>
    </row>
    <row r="142" spans="1:10" x14ac:dyDescent="0.3">
      <c r="A142" s="6" t="s">
        <v>2</v>
      </c>
      <c r="B142" s="6" t="s">
        <v>3</v>
      </c>
      <c r="C142" s="6" t="s">
        <v>2</v>
      </c>
      <c r="D142" s="6" t="s">
        <v>4</v>
      </c>
      <c r="E142" s="6" t="s">
        <v>2</v>
      </c>
      <c r="F142" s="6" t="s">
        <v>4</v>
      </c>
      <c r="G142" s="6" t="s">
        <v>2</v>
      </c>
      <c r="H142" s="6" t="s">
        <v>3</v>
      </c>
      <c r="I142" s="6" t="s">
        <v>3</v>
      </c>
      <c r="J142" s="6" t="s">
        <v>5</v>
      </c>
    </row>
    <row r="143" spans="1:10" x14ac:dyDescent="0.3">
      <c r="A143" s="6" t="s">
        <v>2</v>
      </c>
      <c r="B143" s="6" t="s">
        <v>3</v>
      </c>
      <c r="C143" s="6" t="s">
        <v>2</v>
      </c>
      <c r="D143" s="6" t="s">
        <v>4</v>
      </c>
      <c r="E143" s="6" t="s">
        <v>2</v>
      </c>
      <c r="F143" s="6" t="s">
        <v>4</v>
      </c>
      <c r="G143" s="6" t="s">
        <v>3</v>
      </c>
      <c r="H143" s="6" t="s">
        <v>3</v>
      </c>
      <c r="I143" s="6" t="s">
        <v>2</v>
      </c>
      <c r="J143" s="6" t="s">
        <v>5</v>
      </c>
    </row>
    <row r="144" spans="1:10" x14ac:dyDescent="0.3">
      <c r="A144" s="6" t="s">
        <v>2</v>
      </c>
      <c r="B144" s="6" t="s">
        <v>3</v>
      </c>
      <c r="C144" s="6" t="s">
        <v>2</v>
      </c>
      <c r="D144" s="6" t="s">
        <v>4</v>
      </c>
      <c r="E144" s="6" t="s">
        <v>3</v>
      </c>
      <c r="F144" s="6" t="s">
        <v>2</v>
      </c>
      <c r="G144" s="6" t="s">
        <v>3</v>
      </c>
      <c r="H144" s="6" t="s">
        <v>4</v>
      </c>
      <c r="I144" s="6" t="s">
        <v>2</v>
      </c>
      <c r="J144" s="6" t="s">
        <v>5</v>
      </c>
    </row>
    <row r="145" spans="1:10" x14ac:dyDescent="0.3">
      <c r="A145" s="6" t="s">
        <v>2</v>
      </c>
      <c r="B145" s="6" t="s">
        <v>3</v>
      </c>
      <c r="C145" s="6" t="s">
        <v>2</v>
      </c>
      <c r="D145" s="6" t="s">
        <v>4</v>
      </c>
      <c r="E145" s="6" t="s">
        <v>4</v>
      </c>
      <c r="F145" s="6" t="s">
        <v>2</v>
      </c>
      <c r="G145" s="6" t="s">
        <v>3</v>
      </c>
      <c r="H145" s="6" t="s">
        <v>3</v>
      </c>
      <c r="I145" s="6" t="s">
        <v>2</v>
      </c>
      <c r="J145" s="6" t="s">
        <v>5</v>
      </c>
    </row>
    <row r="146" spans="1:10" x14ac:dyDescent="0.3">
      <c r="A146" s="6" t="s">
        <v>2</v>
      </c>
      <c r="B146" s="6" t="s">
        <v>3</v>
      </c>
      <c r="C146" s="6" t="s">
        <v>3</v>
      </c>
      <c r="D146" s="6" t="s">
        <v>2</v>
      </c>
      <c r="E146" s="6" t="s">
        <v>2</v>
      </c>
      <c r="F146" s="6" t="s">
        <v>2</v>
      </c>
      <c r="G146" s="6" t="s">
        <v>2</v>
      </c>
      <c r="H146" s="6" t="s">
        <v>3</v>
      </c>
      <c r="I146" s="6" t="s">
        <v>3</v>
      </c>
      <c r="J146" s="6" t="s">
        <v>5</v>
      </c>
    </row>
    <row r="147" spans="1:10" x14ac:dyDescent="0.3">
      <c r="A147" s="6" t="s">
        <v>2</v>
      </c>
      <c r="B147" s="6" t="s">
        <v>3</v>
      </c>
      <c r="C147" s="6" t="s">
        <v>3</v>
      </c>
      <c r="D147" s="6" t="s">
        <v>2</v>
      </c>
      <c r="E147" s="6" t="s">
        <v>2</v>
      </c>
      <c r="F147" s="6" t="s">
        <v>2</v>
      </c>
      <c r="G147" s="6" t="s">
        <v>3</v>
      </c>
      <c r="H147" s="6" t="s">
        <v>2</v>
      </c>
      <c r="I147" s="6" t="s">
        <v>3</v>
      </c>
      <c r="J147" s="6" t="s">
        <v>5</v>
      </c>
    </row>
    <row r="148" spans="1:10" x14ac:dyDescent="0.3">
      <c r="A148" s="6" t="s">
        <v>2</v>
      </c>
      <c r="B148" s="6" t="s">
        <v>3</v>
      </c>
      <c r="C148" s="6" t="s">
        <v>3</v>
      </c>
      <c r="D148" s="6" t="s">
        <v>2</v>
      </c>
      <c r="E148" s="6" t="s">
        <v>2</v>
      </c>
      <c r="F148" s="6" t="s">
        <v>2</v>
      </c>
      <c r="G148" s="6" t="s">
        <v>3</v>
      </c>
      <c r="H148" s="6" t="s">
        <v>3</v>
      </c>
      <c r="I148" s="6" t="s">
        <v>2</v>
      </c>
      <c r="J148" s="6" t="s">
        <v>5</v>
      </c>
    </row>
    <row r="149" spans="1:10" x14ac:dyDescent="0.3">
      <c r="A149" s="6" t="s">
        <v>2</v>
      </c>
      <c r="B149" s="6" t="s">
        <v>3</v>
      </c>
      <c r="C149" s="6" t="s">
        <v>3</v>
      </c>
      <c r="D149" s="6" t="s">
        <v>2</v>
      </c>
      <c r="E149" s="6" t="s">
        <v>2</v>
      </c>
      <c r="F149" s="6" t="s">
        <v>2</v>
      </c>
      <c r="G149" s="6" t="s">
        <v>3</v>
      </c>
      <c r="H149" s="6" t="s">
        <v>4</v>
      </c>
      <c r="I149" s="6" t="s">
        <v>4</v>
      </c>
      <c r="J149" s="6" t="s">
        <v>5</v>
      </c>
    </row>
    <row r="150" spans="1:10" x14ac:dyDescent="0.3">
      <c r="A150" s="6" t="s">
        <v>2</v>
      </c>
      <c r="B150" s="6" t="s">
        <v>3</v>
      </c>
      <c r="C150" s="6" t="s">
        <v>3</v>
      </c>
      <c r="D150" s="6" t="s">
        <v>2</v>
      </c>
      <c r="E150" s="6" t="s">
        <v>2</v>
      </c>
      <c r="F150" s="6" t="s">
        <v>2</v>
      </c>
      <c r="G150" s="6" t="s">
        <v>4</v>
      </c>
      <c r="H150" s="6" t="s">
        <v>3</v>
      </c>
      <c r="I150" s="6" t="s">
        <v>4</v>
      </c>
      <c r="J150" s="6" t="s">
        <v>5</v>
      </c>
    </row>
    <row r="151" spans="1:10" x14ac:dyDescent="0.3">
      <c r="A151" s="6" t="s">
        <v>2</v>
      </c>
      <c r="B151" s="6" t="s">
        <v>3</v>
      </c>
      <c r="C151" s="6" t="s">
        <v>3</v>
      </c>
      <c r="D151" s="6" t="s">
        <v>2</v>
      </c>
      <c r="E151" s="6" t="s">
        <v>2</v>
      </c>
      <c r="F151" s="6" t="s">
        <v>2</v>
      </c>
      <c r="G151" s="6" t="s">
        <v>4</v>
      </c>
      <c r="H151" s="6" t="s">
        <v>4</v>
      </c>
      <c r="I151" s="6" t="s">
        <v>3</v>
      </c>
      <c r="J151" s="6" t="s">
        <v>5</v>
      </c>
    </row>
    <row r="152" spans="1:10" x14ac:dyDescent="0.3">
      <c r="A152" s="6" t="s">
        <v>2</v>
      </c>
      <c r="B152" s="6" t="s">
        <v>3</v>
      </c>
      <c r="C152" s="6" t="s">
        <v>3</v>
      </c>
      <c r="D152" s="6" t="s">
        <v>2</v>
      </c>
      <c r="E152" s="6" t="s">
        <v>2</v>
      </c>
      <c r="F152" s="6" t="s">
        <v>3</v>
      </c>
      <c r="G152" s="6" t="s">
        <v>2</v>
      </c>
      <c r="H152" s="6" t="s">
        <v>3</v>
      </c>
      <c r="I152" s="6" t="s">
        <v>2</v>
      </c>
      <c r="J152" s="6" t="s">
        <v>5</v>
      </c>
    </row>
    <row r="153" spans="1:10" x14ac:dyDescent="0.3">
      <c r="A153" s="6" t="s">
        <v>2</v>
      </c>
      <c r="B153" s="6" t="s">
        <v>3</v>
      </c>
      <c r="C153" s="6" t="s">
        <v>3</v>
      </c>
      <c r="D153" s="6" t="s">
        <v>2</v>
      </c>
      <c r="E153" s="6" t="s">
        <v>2</v>
      </c>
      <c r="F153" s="6" t="s">
        <v>3</v>
      </c>
      <c r="G153" s="6" t="s">
        <v>2</v>
      </c>
      <c r="H153" s="6" t="s">
        <v>4</v>
      </c>
      <c r="I153" s="6" t="s">
        <v>4</v>
      </c>
      <c r="J153" s="6" t="s">
        <v>5</v>
      </c>
    </row>
    <row r="154" spans="1:10" x14ac:dyDescent="0.3">
      <c r="A154" s="6" t="s">
        <v>2</v>
      </c>
      <c r="B154" s="6" t="s">
        <v>3</v>
      </c>
      <c r="C154" s="6" t="s">
        <v>3</v>
      </c>
      <c r="D154" s="6" t="s">
        <v>2</v>
      </c>
      <c r="E154" s="6" t="s">
        <v>2</v>
      </c>
      <c r="F154" s="6" t="s">
        <v>3</v>
      </c>
      <c r="G154" s="6" t="s">
        <v>3</v>
      </c>
      <c r="H154" s="6" t="s">
        <v>2</v>
      </c>
      <c r="I154" s="6" t="s">
        <v>2</v>
      </c>
      <c r="J154" s="6" t="s">
        <v>5</v>
      </c>
    </row>
    <row r="155" spans="1:10" x14ac:dyDescent="0.3">
      <c r="A155" s="6" t="s">
        <v>2</v>
      </c>
      <c r="B155" s="6" t="s">
        <v>3</v>
      </c>
      <c r="C155" s="6" t="s">
        <v>3</v>
      </c>
      <c r="D155" s="6" t="s">
        <v>2</v>
      </c>
      <c r="E155" s="6" t="s">
        <v>2</v>
      </c>
      <c r="F155" s="6" t="s">
        <v>3</v>
      </c>
      <c r="G155" s="6" t="s">
        <v>4</v>
      </c>
      <c r="H155" s="6" t="s">
        <v>4</v>
      </c>
      <c r="I155" s="6" t="s">
        <v>2</v>
      </c>
      <c r="J155" s="6" t="s">
        <v>5</v>
      </c>
    </row>
    <row r="156" spans="1:10" x14ac:dyDescent="0.3">
      <c r="A156" s="6" t="s">
        <v>2</v>
      </c>
      <c r="B156" s="6" t="s">
        <v>3</v>
      </c>
      <c r="C156" s="6" t="s">
        <v>3</v>
      </c>
      <c r="D156" s="6" t="s">
        <v>2</v>
      </c>
      <c r="E156" s="6" t="s">
        <v>2</v>
      </c>
      <c r="F156" s="6" t="s">
        <v>4</v>
      </c>
      <c r="G156" s="6" t="s">
        <v>2</v>
      </c>
      <c r="H156" s="6" t="s">
        <v>3</v>
      </c>
      <c r="I156" s="6" t="s">
        <v>4</v>
      </c>
      <c r="J156" s="6" t="s">
        <v>5</v>
      </c>
    </row>
    <row r="157" spans="1:10" x14ac:dyDescent="0.3">
      <c r="A157" s="6" t="s">
        <v>2</v>
      </c>
      <c r="B157" s="6" t="s">
        <v>3</v>
      </c>
      <c r="C157" s="6" t="s">
        <v>3</v>
      </c>
      <c r="D157" s="6" t="s">
        <v>2</v>
      </c>
      <c r="E157" s="6" t="s">
        <v>2</v>
      </c>
      <c r="F157" s="6" t="s">
        <v>4</v>
      </c>
      <c r="G157" s="6" t="s">
        <v>2</v>
      </c>
      <c r="H157" s="6" t="s">
        <v>4</v>
      </c>
      <c r="I157" s="6" t="s">
        <v>3</v>
      </c>
      <c r="J157" s="6" t="s">
        <v>5</v>
      </c>
    </row>
    <row r="158" spans="1:10" x14ac:dyDescent="0.3">
      <c r="A158" s="6" t="s">
        <v>2</v>
      </c>
      <c r="B158" s="6" t="s">
        <v>3</v>
      </c>
      <c r="C158" s="6" t="s">
        <v>3</v>
      </c>
      <c r="D158" s="6" t="s">
        <v>2</v>
      </c>
      <c r="E158" s="6" t="s">
        <v>2</v>
      </c>
      <c r="F158" s="6" t="s">
        <v>4</v>
      </c>
      <c r="G158" s="6" t="s">
        <v>3</v>
      </c>
      <c r="H158" s="6" t="s">
        <v>4</v>
      </c>
      <c r="I158" s="6" t="s">
        <v>2</v>
      </c>
      <c r="J158" s="6" t="s">
        <v>5</v>
      </c>
    </row>
    <row r="159" spans="1:10" x14ac:dyDescent="0.3">
      <c r="A159" s="6" t="s">
        <v>2</v>
      </c>
      <c r="B159" s="6" t="s">
        <v>3</v>
      </c>
      <c r="C159" s="6" t="s">
        <v>3</v>
      </c>
      <c r="D159" s="6" t="s">
        <v>2</v>
      </c>
      <c r="E159" s="6" t="s">
        <v>2</v>
      </c>
      <c r="F159" s="6" t="s">
        <v>4</v>
      </c>
      <c r="G159" s="6" t="s">
        <v>4</v>
      </c>
      <c r="H159" s="6" t="s">
        <v>3</v>
      </c>
      <c r="I159" s="6" t="s">
        <v>2</v>
      </c>
      <c r="J159" s="6" t="s">
        <v>5</v>
      </c>
    </row>
    <row r="160" spans="1:10" x14ac:dyDescent="0.3">
      <c r="A160" s="6" t="s">
        <v>2</v>
      </c>
      <c r="B160" s="6" t="s">
        <v>3</v>
      </c>
      <c r="C160" s="6" t="s">
        <v>3</v>
      </c>
      <c r="D160" s="6" t="s">
        <v>2</v>
      </c>
      <c r="E160" s="6" t="s">
        <v>3</v>
      </c>
      <c r="F160" s="6" t="s">
        <v>2</v>
      </c>
      <c r="G160" s="6" t="s">
        <v>2</v>
      </c>
      <c r="H160" s="6" t="s">
        <v>2</v>
      </c>
      <c r="I160" s="6" t="s">
        <v>3</v>
      </c>
      <c r="J160" s="6" t="s">
        <v>5</v>
      </c>
    </row>
    <row r="161" spans="1:10" x14ac:dyDescent="0.3">
      <c r="A161" s="6" t="s">
        <v>2</v>
      </c>
      <c r="B161" s="6" t="s">
        <v>3</v>
      </c>
      <c r="C161" s="6" t="s">
        <v>3</v>
      </c>
      <c r="D161" s="6" t="s">
        <v>2</v>
      </c>
      <c r="E161" s="6" t="s">
        <v>3</v>
      </c>
      <c r="F161" s="6" t="s">
        <v>2</v>
      </c>
      <c r="G161" s="6" t="s">
        <v>2</v>
      </c>
      <c r="H161" s="6" t="s">
        <v>4</v>
      </c>
      <c r="I161" s="6" t="s">
        <v>4</v>
      </c>
      <c r="J161" s="6" t="s">
        <v>5</v>
      </c>
    </row>
    <row r="162" spans="1:10" x14ac:dyDescent="0.3">
      <c r="A162" s="6" t="s">
        <v>2</v>
      </c>
      <c r="B162" s="6" t="s">
        <v>3</v>
      </c>
      <c r="C162" s="6" t="s">
        <v>3</v>
      </c>
      <c r="D162" s="6" t="s">
        <v>2</v>
      </c>
      <c r="E162" s="6" t="s">
        <v>3</v>
      </c>
      <c r="F162" s="6" t="s">
        <v>3</v>
      </c>
      <c r="G162" s="6" t="s">
        <v>2</v>
      </c>
      <c r="H162" s="6" t="s">
        <v>2</v>
      </c>
      <c r="I162" s="6" t="s">
        <v>2</v>
      </c>
      <c r="J162" s="6" t="s">
        <v>5</v>
      </c>
    </row>
    <row r="163" spans="1:10" x14ac:dyDescent="0.3">
      <c r="A163" s="6" t="s">
        <v>2</v>
      </c>
      <c r="B163" s="6" t="s">
        <v>3</v>
      </c>
      <c r="C163" s="6" t="s">
        <v>3</v>
      </c>
      <c r="D163" s="6" t="s">
        <v>2</v>
      </c>
      <c r="E163" s="6" t="s">
        <v>3</v>
      </c>
      <c r="F163" s="6" t="s">
        <v>4</v>
      </c>
      <c r="G163" s="6" t="s">
        <v>2</v>
      </c>
      <c r="H163" s="6" t="s">
        <v>2</v>
      </c>
      <c r="I163" s="6" t="s">
        <v>4</v>
      </c>
      <c r="J163" s="6" t="s">
        <v>5</v>
      </c>
    </row>
    <row r="164" spans="1:10" x14ac:dyDescent="0.3">
      <c r="A164" s="6" t="s">
        <v>2</v>
      </c>
      <c r="B164" s="6" t="s">
        <v>3</v>
      </c>
      <c r="C164" s="6" t="s">
        <v>3</v>
      </c>
      <c r="D164" s="6" t="s">
        <v>2</v>
      </c>
      <c r="E164" s="6" t="s">
        <v>3</v>
      </c>
      <c r="F164" s="6" t="s">
        <v>4</v>
      </c>
      <c r="G164" s="6" t="s">
        <v>2</v>
      </c>
      <c r="H164" s="6" t="s">
        <v>4</v>
      </c>
      <c r="I164" s="6" t="s">
        <v>2</v>
      </c>
      <c r="J164" s="6" t="s">
        <v>5</v>
      </c>
    </row>
    <row r="165" spans="1:10" x14ac:dyDescent="0.3">
      <c r="A165" s="6" t="s">
        <v>2</v>
      </c>
      <c r="B165" s="6" t="s">
        <v>3</v>
      </c>
      <c r="C165" s="6" t="s">
        <v>3</v>
      </c>
      <c r="D165" s="6" t="s">
        <v>2</v>
      </c>
      <c r="E165" s="6" t="s">
        <v>4</v>
      </c>
      <c r="F165" s="6" t="s">
        <v>2</v>
      </c>
      <c r="G165" s="6" t="s">
        <v>2</v>
      </c>
      <c r="H165" s="6" t="s">
        <v>3</v>
      </c>
      <c r="I165" s="6" t="s">
        <v>4</v>
      </c>
      <c r="J165" s="6" t="s">
        <v>5</v>
      </c>
    </row>
    <row r="166" spans="1:10" x14ac:dyDescent="0.3">
      <c r="A166" s="6" t="s">
        <v>2</v>
      </c>
      <c r="B166" s="6" t="s">
        <v>3</v>
      </c>
      <c r="C166" s="6" t="s">
        <v>3</v>
      </c>
      <c r="D166" s="6" t="s">
        <v>2</v>
      </c>
      <c r="E166" s="6" t="s">
        <v>4</v>
      </c>
      <c r="F166" s="6" t="s">
        <v>2</v>
      </c>
      <c r="G166" s="6" t="s">
        <v>2</v>
      </c>
      <c r="H166" s="6" t="s">
        <v>4</v>
      </c>
      <c r="I166" s="6" t="s">
        <v>3</v>
      </c>
      <c r="J166" s="6" t="s">
        <v>5</v>
      </c>
    </row>
    <row r="167" spans="1:10" x14ac:dyDescent="0.3">
      <c r="A167" s="6" t="s">
        <v>2</v>
      </c>
      <c r="B167" s="6" t="s">
        <v>3</v>
      </c>
      <c r="C167" s="6" t="s">
        <v>3</v>
      </c>
      <c r="D167" s="6" t="s">
        <v>2</v>
      </c>
      <c r="E167" s="6" t="s">
        <v>4</v>
      </c>
      <c r="F167" s="6" t="s">
        <v>3</v>
      </c>
      <c r="G167" s="6" t="s">
        <v>2</v>
      </c>
      <c r="H167" s="6" t="s">
        <v>2</v>
      </c>
      <c r="I167" s="6" t="s">
        <v>4</v>
      </c>
      <c r="J167" s="6" t="s">
        <v>5</v>
      </c>
    </row>
    <row r="168" spans="1:10" x14ac:dyDescent="0.3">
      <c r="A168" s="6" t="s">
        <v>2</v>
      </c>
      <c r="B168" s="6" t="s">
        <v>3</v>
      </c>
      <c r="C168" s="6" t="s">
        <v>3</v>
      </c>
      <c r="D168" s="6" t="s">
        <v>2</v>
      </c>
      <c r="E168" s="6" t="s">
        <v>4</v>
      </c>
      <c r="F168" s="6" t="s">
        <v>3</v>
      </c>
      <c r="G168" s="6" t="s">
        <v>2</v>
      </c>
      <c r="H168" s="6" t="s">
        <v>4</v>
      </c>
      <c r="I168" s="6" t="s">
        <v>2</v>
      </c>
      <c r="J168" s="6" t="s">
        <v>5</v>
      </c>
    </row>
    <row r="169" spans="1:10" x14ac:dyDescent="0.3">
      <c r="A169" s="6" t="s">
        <v>2</v>
      </c>
      <c r="B169" s="6" t="s">
        <v>3</v>
      </c>
      <c r="C169" s="6" t="s">
        <v>3</v>
      </c>
      <c r="D169" s="6" t="s">
        <v>2</v>
      </c>
      <c r="E169" s="6" t="s">
        <v>4</v>
      </c>
      <c r="F169" s="6" t="s">
        <v>4</v>
      </c>
      <c r="G169" s="6" t="s">
        <v>2</v>
      </c>
      <c r="H169" s="6" t="s">
        <v>2</v>
      </c>
      <c r="I169" s="6" t="s">
        <v>3</v>
      </c>
      <c r="J169" s="6" t="s">
        <v>5</v>
      </c>
    </row>
    <row r="170" spans="1:10" x14ac:dyDescent="0.3">
      <c r="A170" s="6" t="s">
        <v>2</v>
      </c>
      <c r="B170" s="6" t="s">
        <v>3</v>
      </c>
      <c r="C170" s="6" t="s">
        <v>3</v>
      </c>
      <c r="D170" s="6" t="s">
        <v>2</v>
      </c>
      <c r="E170" s="6" t="s">
        <v>4</v>
      </c>
      <c r="F170" s="6" t="s">
        <v>4</v>
      </c>
      <c r="G170" s="6" t="s">
        <v>2</v>
      </c>
      <c r="H170" s="6" t="s">
        <v>3</v>
      </c>
      <c r="I170" s="6" t="s">
        <v>2</v>
      </c>
      <c r="J170" s="6" t="s">
        <v>5</v>
      </c>
    </row>
    <row r="171" spans="1:10" x14ac:dyDescent="0.3">
      <c r="A171" s="6" t="s">
        <v>2</v>
      </c>
      <c r="B171" s="6" t="s">
        <v>3</v>
      </c>
      <c r="C171" s="6" t="s">
        <v>3</v>
      </c>
      <c r="D171" s="6" t="s">
        <v>2</v>
      </c>
      <c r="E171" s="6" t="s">
        <v>4</v>
      </c>
      <c r="F171" s="6" t="s">
        <v>4</v>
      </c>
      <c r="G171" s="6" t="s">
        <v>2</v>
      </c>
      <c r="H171" s="6" t="s">
        <v>4</v>
      </c>
      <c r="I171" s="6" t="s">
        <v>4</v>
      </c>
      <c r="J171" s="6" t="s">
        <v>5</v>
      </c>
    </row>
    <row r="172" spans="1:10" x14ac:dyDescent="0.3">
      <c r="A172" s="6" t="s">
        <v>2</v>
      </c>
      <c r="B172" s="6" t="s">
        <v>3</v>
      </c>
      <c r="C172" s="6" t="s">
        <v>3</v>
      </c>
      <c r="D172" s="6" t="s">
        <v>3</v>
      </c>
      <c r="E172" s="6" t="s">
        <v>2</v>
      </c>
      <c r="F172" s="6" t="s">
        <v>2</v>
      </c>
      <c r="G172" s="6" t="s">
        <v>2</v>
      </c>
      <c r="H172" s="6" t="s">
        <v>3</v>
      </c>
      <c r="I172" s="6" t="s">
        <v>2</v>
      </c>
      <c r="J172" s="6" t="s">
        <v>5</v>
      </c>
    </row>
    <row r="173" spans="1:10" x14ac:dyDescent="0.3">
      <c r="A173" s="6" t="s">
        <v>2</v>
      </c>
      <c r="B173" s="6" t="s">
        <v>3</v>
      </c>
      <c r="C173" s="6" t="s">
        <v>3</v>
      </c>
      <c r="D173" s="6" t="s">
        <v>3</v>
      </c>
      <c r="E173" s="6" t="s">
        <v>2</v>
      </c>
      <c r="F173" s="6" t="s">
        <v>2</v>
      </c>
      <c r="G173" s="6" t="s">
        <v>3</v>
      </c>
      <c r="H173" s="6" t="s">
        <v>2</v>
      </c>
      <c r="I173" s="6" t="s">
        <v>2</v>
      </c>
      <c r="J173" s="6" t="s">
        <v>5</v>
      </c>
    </row>
    <row r="174" spans="1:10" x14ac:dyDescent="0.3">
      <c r="A174" s="6" t="s">
        <v>2</v>
      </c>
      <c r="B174" s="6" t="s">
        <v>3</v>
      </c>
      <c r="C174" s="6" t="s">
        <v>3</v>
      </c>
      <c r="D174" s="6" t="s">
        <v>3</v>
      </c>
      <c r="E174" s="6" t="s">
        <v>2</v>
      </c>
      <c r="F174" s="6" t="s">
        <v>2</v>
      </c>
      <c r="G174" s="6" t="s">
        <v>4</v>
      </c>
      <c r="H174" s="6" t="s">
        <v>4</v>
      </c>
      <c r="I174" s="6" t="s">
        <v>2</v>
      </c>
      <c r="J174" s="6" t="s">
        <v>5</v>
      </c>
    </row>
    <row r="175" spans="1:10" x14ac:dyDescent="0.3">
      <c r="A175" s="6" t="s">
        <v>2</v>
      </c>
      <c r="B175" s="6" t="s">
        <v>3</v>
      </c>
      <c r="C175" s="6" t="s">
        <v>3</v>
      </c>
      <c r="D175" s="6" t="s">
        <v>3</v>
      </c>
      <c r="E175" s="6" t="s">
        <v>2</v>
      </c>
      <c r="F175" s="6" t="s">
        <v>3</v>
      </c>
      <c r="G175" s="6" t="s">
        <v>2</v>
      </c>
      <c r="H175" s="6" t="s">
        <v>2</v>
      </c>
      <c r="I175" s="6" t="s">
        <v>2</v>
      </c>
      <c r="J175" s="6" t="s">
        <v>5</v>
      </c>
    </row>
    <row r="176" spans="1:10" x14ac:dyDescent="0.3">
      <c r="A176" s="6" t="s">
        <v>2</v>
      </c>
      <c r="B176" s="6" t="s">
        <v>3</v>
      </c>
      <c r="C176" s="6" t="s">
        <v>3</v>
      </c>
      <c r="D176" s="6" t="s">
        <v>3</v>
      </c>
      <c r="E176" s="6" t="s">
        <v>2</v>
      </c>
      <c r="F176" s="6" t="s">
        <v>4</v>
      </c>
      <c r="G176" s="6" t="s">
        <v>2</v>
      </c>
      <c r="H176" s="6" t="s">
        <v>4</v>
      </c>
      <c r="I176" s="6" t="s">
        <v>2</v>
      </c>
      <c r="J176" s="6" t="s">
        <v>5</v>
      </c>
    </row>
    <row r="177" spans="1:10" x14ac:dyDescent="0.3">
      <c r="A177" s="6" t="s">
        <v>2</v>
      </c>
      <c r="B177" s="6" t="s">
        <v>3</v>
      </c>
      <c r="C177" s="6" t="s">
        <v>3</v>
      </c>
      <c r="D177" s="6" t="s">
        <v>3</v>
      </c>
      <c r="E177" s="6" t="s">
        <v>2</v>
      </c>
      <c r="F177" s="6" t="s">
        <v>4</v>
      </c>
      <c r="G177" s="6" t="s">
        <v>4</v>
      </c>
      <c r="H177" s="6" t="s">
        <v>2</v>
      </c>
      <c r="I177" s="6" t="s">
        <v>2</v>
      </c>
      <c r="J177" s="6" t="s">
        <v>5</v>
      </c>
    </row>
    <row r="178" spans="1:10" x14ac:dyDescent="0.3">
      <c r="A178" s="6" t="s">
        <v>2</v>
      </c>
      <c r="B178" s="6" t="s">
        <v>3</v>
      </c>
      <c r="C178" s="6" t="s">
        <v>3</v>
      </c>
      <c r="D178" s="6" t="s">
        <v>3</v>
      </c>
      <c r="E178" s="6" t="s">
        <v>3</v>
      </c>
      <c r="F178" s="6" t="s">
        <v>2</v>
      </c>
      <c r="G178" s="6" t="s">
        <v>2</v>
      </c>
      <c r="H178" s="6" t="s">
        <v>2</v>
      </c>
      <c r="I178" s="6" t="s">
        <v>2</v>
      </c>
      <c r="J178" s="6" t="s">
        <v>5</v>
      </c>
    </row>
    <row r="179" spans="1:10" x14ac:dyDescent="0.3">
      <c r="A179" s="6" t="s">
        <v>2</v>
      </c>
      <c r="B179" s="6" t="s">
        <v>3</v>
      </c>
      <c r="C179" s="6" t="s">
        <v>3</v>
      </c>
      <c r="D179" s="6" t="s">
        <v>3</v>
      </c>
      <c r="E179" s="6" t="s">
        <v>4</v>
      </c>
      <c r="F179" s="6" t="s">
        <v>4</v>
      </c>
      <c r="G179" s="6" t="s">
        <v>2</v>
      </c>
      <c r="H179" s="6" t="s">
        <v>2</v>
      </c>
      <c r="I179" s="6" t="s">
        <v>2</v>
      </c>
      <c r="J179" s="6" t="s">
        <v>5</v>
      </c>
    </row>
    <row r="180" spans="1:10" x14ac:dyDescent="0.3">
      <c r="A180" s="6" t="s">
        <v>2</v>
      </c>
      <c r="B180" s="6" t="s">
        <v>3</v>
      </c>
      <c r="C180" s="6" t="s">
        <v>3</v>
      </c>
      <c r="D180" s="6" t="s">
        <v>4</v>
      </c>
      <c r="E180" s="6" t="s">
        <v>2</v>
      </c>
      <c r="F180" s="6" t="s">
        <v>2</v>
      </c>
      <c r="G180" s="6" t="s">
        <v>3</v>
      </c>
      <c r="H180" s="6" t="s">
        <v>4</v>
      </c>
      <c r="I180" s="6" t="s">
        <v>2</v>
      </c>
      <c r="J180" s="6" t="s">
        <v>5</v>
      </c>
    </row>
    <row r="181" spans="1:10" x14ac:dyDescent="0.3">
      <c r="A181" s="6" t="s">
        <v>2</v>
      </c>
      <c r="B181" s="6" t="s">
        <v>3</v>
      </c>
      <c r="C181" s="6" t="s">
        <v>3</v>
      </c>
      <c r="D181" s="6" t="s">
        <v>4</v>
      </c>
      <c r="E181" s="6" t="s">
        <v>2</v>
      </c>
      <c r="F181" s="6" t="s">
        <v>2</v>
      </c>
      <c r="G181" s="6" t="s">
        <v>4</v>
      </c>
      <c r="H181" s="6" t="s">
        <v>3</v>
      </c>
      <c r="I181" s="6" t="s">
        <v>2</v>
      </c>
      <c r="J181" s="6" t="s">
        <v>5</v>
      </c>
    </row>
    <row r="182" spans="1:10" x14ac:dyDescent="0.3">
      <c r="A182" s="6" t="s">
        <v>2</v>
      </c>
      <c r="B182" s="6" t="s">
        <v>3</v>
      </c>
      <c r="C182" s="6" t="s">
        <v>3</v>
      </c>
      <c r="D182" s="6" t="s">
        <v>4</v>
      </c>
      <c r="E182" s="6" t="s">
        <v>2</v>
      </c>
      <c r="F182" s="6" t="s">
        <v>3</v>
      </c>
      <c r="G182" s="6" t="s">
        <v>2</v>
      </c>
      <c r="H182" s="6" t="s">
        <v>4</v>
      </c>
      <c r="I182" s="6" t="s">
        <v>2</v>
      </c>
      <c r="J182" s="6" t="s">
        <v>5</v>
      </c>
    </row>
    <row r="183" spans="1:10" x14ac:dyDescent="0.3">
      <c r="A183" s="6" t="s">
        <v>2</v>
      </c>
      <c r="B183" s="6" t="s">
        <v>3</v>
      </c>
      <c r="C183" s="6" t="s">
        <v>3</v>
      </c>
      <c r="D183" s="6" t="s">
        <v>4</v>
      </c>
      <c r="E183" s="6" t="s">
        <v>2</v>
      </c>
      <c r="F183" s="6" t="s">
        <v>3</v>
      </c>
      <c r="G183" s="6" t="s">
        <v>4</v>
      </c>
      <c r="H183" s="6" t="s">
        <v>2</v>
      </c>
      <c r="I183" s="6" t="s">
        <v>2</v>
      </c>
      <c r="J183" s="6" t="s">
        <v>5</v>
      </c>
    </row>
    <row r="184" spans="1:10" x14ac:dyDescent="0.3">
      <c r="A184" s="6" t="s">
        <v>2</v>
      </c>
      <c r="B184" s="6" t="s">
        <v>3</v>
      </c>
      <c r="C184" s="6" t="s">
        <v>3</v>
      </c>
      <c r="D184" s="6" t="s">
        <v>4</v>
      </c>
      <c r="E184" s="6" t="s">
        <v>2</v>
      </c>
      <c r="F184" s="6" t="s">
        <v>4</v>
      </c>
      <c r="G184" s="6" t="s">
        <v>2</v>
      </c>
      <c r="H184" s="6" t="s">
        <v>3</v>
      </c>
      <c r="I184" s="6" t="s">
        <v>2</v>
      </c>
      <c r="J184" s="6" t="s">
        <v>5</v>
      </c>
    </row>
    <row r="185" spans="1:10" x14ac:dyDescent="0.3">
      <c r="A185" s="6" t="s">
        <v>2</v>
      </c>
      <c r="B185" s="6" t="s">
        <v>3</v>
      </c>
      <c r="C185" s="6" t="s">
        <v>3</v>
      </c>
      <c r="D185" s="6" t="s">
        <v>4</v>
      </c>
      <c r="E185" s="6" t="s">
        <v>2</v>
      </c>
      <c r="F185" s="6" t="s">
        <v>4</v>
      </c>
      <c r="G185" s="6" t="s">
        <v>3</v>
      </c>
      <c r="H185" s="6" t="s">
        <v>2</v>
      </c>
      <c r="I185" s="6" t="s">
        <v>2</v>
      </c>
      <c r="J185" s="6" t="s">
        <v>5</v>
      </c>
    </row>
    <row r="186" spans="1:10" x14ac:dyDescent="0.3">
      <c r="A186" s="6" t="s">
        <v>2</v>
      </c>
      <c r="B186" s="6" t="s">
        <v>3</v>
      </c>
      <c r="C186" s="6" t="s">
        <v>3</v>
      </c>
      <c r="D186" s="6" t="s">
        <v>4</v>
      </c>
      <c r="E186" s="6" t="s">
        <v>2</v>
      </c>
      <c r="F186" s="6" t="s">
        <v>4</v>
      </c>
      <c r="G186" s="6" t="s">
        <v>4</v>
      </c>
      <c r="H186" s="6" t="s">
        <v>4</v>
      </c>
      <c r="I186" s="6" t="s">
        <v>2</v>
      </c>
      <c r="J186" s="6" t="s">
        <v>5</v>
      </c>
    </row>
    <row r="187" spans="1:10" x14ac:dyDescent="0.3">
      <c r="A187" s="6" t="s">
        <v>2</v>
      </c>
      <c r="B187" s="6" t="s">
        <v>3</v>
      </c>
      <c r="C187" s="6" t="s">
        <v>3</v>
      </c>
      <c r="D187" s="6" t="s">
        <v>4</v>
      </c>
      <c r="E187" s="6" t="s">
        <v>3</v>
      </c>
      <c r="F187" s="6" t="s">
        <v>4</v>
      </c>
      <c r="G187" s="6" t="s">
        <v>2</v>
      </c>
      <c r="H187" s="6" t="s">
        <v>2</v>
      </c>
      <c r="I187" s="6" t="s">
        <v>2</v>
      </c>
      <c r="J187" s="6" t="s">
        <v>5</v>
      </c>
    </row>
    <row r="188" spans="1:10" x14ac:dyDescent="0.3">
      <c r="A188" s="6" t="s">
        <v>2</v>
      </c>
      <c r="B188" s="6" t="s">
        <v>3</v>
      </c>
      <c r="C188" s="6" t="s">
        <v>3</v>
      </c>
      <c r="D188" s="6" t="s">
        <v>4</v>
      </c>
      <c r="E188" s="6" t="s">
        <v>4</v>
      </c>
      <c r="F188" s="6" t="s">
        <v>3</v>
      </c>
      <c r="G188" s="6" t="s">
        <v>2</v>
      </c>
      <c r="H188" s="6" t="s">
        <v>2</v>
      </c>
      <c r="I188" s="6" t="s">
        <v>2</v>
      </c>
      <c r="J188" s="6" t="s">
        <v>5</v>
      </c>
    </row>
    <row r="189" spans="1:10" x14ac:dyDescent="0.3">
      <c r="A189" s="6" t="s">
        <v>2</v>
      </c>
      <c r="B189" s="6" t="s">
        <v>3</v>
      </c>
      <c r="C189" s="6" t="s">
        <v>4</v>
      </c>
      <c r="D189" s="6" t="s">
        <v>2</v>
      </c>
      <c r="E189" s="6" t="s">
        <v>2</v>
      </c>
      <c r="F189" s="6" t="s">
        <v>2</v>
      </c>
      <c r="G189" s="6" t="s">
        <v>3</v>
      </c>
      <c r="H189" s="6" t="s">
        <v>3</v>
      </c>
      <c r="I189" s="6" t="s">
        <v>4</v>
      </c>
      <c r="J189" s="6" t="s">
        <v>5</v>
      </c>
    </row>
    <row r="190" spans="1:10" x14ac:dyDescent="0.3">
      <c r="A190" s="6" t="s">
        <v>2</v>
      </c>
      <c r="B190" s="6" t="s">
        <v>3</v>
      </c>
      <c r="C190" s="6" t="s">
        <v>4</v>
      </c>
      <c r="D190" s="6" t="s">
        <v>2</v>
      </c>
      <c r="E190" s="6" t="s">
        <v>2</v>
      </c>
      <c r="F190" s="6" t="s">
        <v>2</v>
      </c>
      <c r="G190" s="6" t="s">
        <v>3</v>
      </c>
      <c r="H190" s="6" t="s">
        <v>4</v>
      </c>
      <c r="I190" s="6" t="s">
        <v>3</v>
      </c>
      <c r="J190" s="6" t="s">
        <v>5</v>
      </c>
    </row>
    <row r="191" spans="1:10" x14ac:dyDescent="0.3">
      <c r="A191" s="6" t="s">
        <v>2</v>
      </c>
      <c r="B191" s="6" t="s">
        <v>3</v>
      </c>
      <c r="C191" s="6" t="s">
        <v>4</v>
      </c>
      <c r="D191" s="6" t="s">
        <v>2</v>
      </c>
      <c r="E191" s="6" t="s">
        <v>2</v>
      </c>
      <c r="F191" s="6" t="s">
        <v>2</v>
      </c>
      <c r="G191" s="6" t="s">
        <v>4</v>
      </c>
      <c r="H191" s="6" t="s">
        <v>3</v>
      </c>
      <c r="I191" s="6" t="s">
        <v>3</v>
      </c>
      <c r="J191" s="6" t="s">
        <v>5</v>
      </c>
    </row>
    <row r="192" spans="1:10" x14ac:dyDescent="0.3">
      <c r="A192" s="6" t="s">
        <v>2</v>
      </c>
      <c r="B192" s="6" t="s">
        <v>3</v>
      </c>
      <c r="C192" s="6" t="s">
        <v>4</v>
      </c>
      <c r="D192" s="6" t="s">
        <v>2</v>
      </c>
      <c r="E192" s="6" t="s">
        <v>2</v>
      </c>
      <c r="F192" s="6" t="s">
        <v>3</v>
      </c>
      <c r="G192" s="6" t="s">
        <v>2</v>
      </c>
      <c r="H192" s="6" t="s">
        <v>3</v>
      </c>
      <c r="I192" s="6" t="s">
        <v>4</v>
      </c>
      <c r="J192" s="6" t="s">
        <v>5</v>
      </c>
    </row>
    <row r="193" spans="1:10" x14ac:dyDescent="0.3">
      <c r="A193" s="6" t="s">
        <v>2</v>
      </c>
      <c r="B193" s="6" t="s">
        <v>3</v>
      </c>
      <c r="C193" s="6" t="s">
        <v>4</v>
      </c>
      <c r="D193" s="6" t="s">
        <v>2</v>
      </c>
      <c r="E193" s="6" t="s">
        <v>2</v>
      </c>
      <c r="F193" s="6" t="s">
        <v>3</v>
      </c>
      <c r="G193" s="6" t="s">
        <v>2</v>
      </c>
      <c r="H193" s="6" t="s">
        <v>4</v>
      </c>
      <c r="I193" s="6" t="s">
        <v>3</v>
      </c>
      <c r="J193" s="6" t="s">
        <v>5</v>
      </c>
    </row>
    <row r="194" spans="1:10" x14ac:dyDescent="0.3">
      <c r="A194" s="6" t="s">
        <v>2</v>
      </c>
      <c r="B194" s="6" t="s">
        <v>3</v>
      </c>
      <c r="C194" s="6" t="s">
        <v>4</v>
      </c>
      <c r="D194" s="6" t="s">
        <v>2</v>
      </c>
      <c r="E194" s="6" t="s">
        <v>2</v>
      </c>
      <c r="F194" s="6" t="s">
        <v>3</v>
      </c>
      <c r="G194" s="6" t="s">
        <v>3</v>
      </c>
      <c r="H194" s="6" t="s">
        <v>4</v>
      </c>
      <c r="I194" s="6" t="s">
        <v>2</v>
      </c>
      <c r="J194" s="6" t="s">
        <v>5</v>
      </c>
    </row>
    <row r="195" spans="1:10" x14ac:dyDescent="0.3">
      <c r="A195" s="6" t="s">
        <v>2</v>
      </c>
      <c r="B195" s="6" t="s">
        <v>3</v>
      </c>
      <c r="C195" s="6" t="s">
        <v>4</v>
      </c>
      <c r="D195" s="6" t="s">
        <v>2</v>
      </c>
      <c r="E195" s="6" t="s">
        <v>2</v>
      </c>
      <c r="F195" s="6" t="s">
        <v>3</v>
      </c>
      <c r="G195" s="6" t="s">
        <v>4</v>
      </c>
      <c r="H195" s="6" t="s">
        <v>3</v>
      </c>
      <c r="I195" s="6" t="s">
        <v>2</v>
      </c>
      <c r="J195" s="6" t="s">
        <v>5</v>
      </c>
    </row>
    <row r="196" spans="1:10" x14ac:dyDescent="0.3">
      <c r="A196" s="6" t="s">
        <v>2</v>
      </c>
      <c r="B196" s="6" t="s">
        <v>3</v>
      </c>
      <c r="C196" s="6" t="s">
        <v>4</v>
      </c>
      <c r="D196" s="6" t="s">
        <v>2</v>
      </c>
      <c r="E196" s="6" t="s">
        <v>2</v>
      </c>
      <c r="F196" s="6" t="s">
        <v>4</v>
      </c>
      <c r="G196" s="6" t="s">
        <v>2</v>
      </c>
      <c r="H196" s="6" t="s">
        <v>3</v>
      </c>
      <c r="I196" s="6" t="s">
        <v>3</v>
      </c>
      <c r="J196" s="6" t="s">
        <v>5</v>
      </c>
    </row>
    <row r="197" spans="1:10" x14ac:dyDescent="0.3">
      <c r="A197" s="6" t="s">
        <v>2</v>
      </c>
      <c r="B197" s="6" t="s">
        <v>3</v>
      </c>
      <c r="C197" s="6" t="s">
        <v>4</v>
      </c>
      <c r="D197" s="6" t="s">
        <v>2</v>
      </c>
      <c r="E197" s="6" t="s">
        <v>2</v>
      </c>
      <c r="F197" s="6" t="s">
        <v>4</v>
      </c>
      <c r="G197" s="6" t="s">
        <v>3</v>
      </c>
      <c r="H197" s="6" t="s">
        <v>3</v>
      </c>
      <c r="I197" s="6" t="s">
        <v>2</v>
      </c>
      <c r="J197" s="6" t="s">
        <v>5</v>
      </c>
    </row>
    <row r="198" spans="1:10" x14ac:dyDescent="0.3">
      <c r="A198" s="6" t="s">
        <v>2</v>
      </c>
      <c r="B198" s="6" t="s">
        <v>3</v>
      </c>
      <c r="C198" s="6" t="s">
        <v>4</v>
      </c>
      <c r="D198" s="6" t="s">
        <v>2</v>
      </c>
      <c r="E198" s="6" t="s">
        <v>3</v>
      </c>
      <c r="F198" s="6" t="s">
        <v>2</v>
      </c>
      <c r="G198" s="6" t="s">
        <v>2</v>
      </c>
      <c r="H198" s="6" t="s">
        <v>4</v>
      </c>
      <c r="I198" s="6" t="s">
        <v>3</v>
      </c>
      <c r="J198" s="6" t="s">
        <v>5</v>
      </c>
    </row>
    <row r="199" spans="1:10" x14ac:dyDescent="0.3">
      <c r="A199" s="6" t="s">
        <v>2</v>
      </c>
      <c r="B199" s="6" t="s">
        <v>3</v>
      </c>
      <c r="C199" s="6" t="s">
        <v>4</v>
      </c>
      <c r="D199" s="6" t="s">
        <v>2</v>
      </c>
      <c r="E199" s="6" t="s">
        <v>3</v>
      </c>
      <c r="F199" s="6" t="s">
        <v>3</v>
      </c>
      <c r="G199" s="6" t="s">
        <v>2</v>
      </c>
      <c r="H199" s="6" t="s">
        <v>2</v>
      </c>
      <c r="I199" s="6" t="s">
        <v>4</v>
      </c>
      <c r="J199" s="6" t="s">
        <v>5</v>
      </c>
    </row>
    <row r="200" spans="1:10" x14ac:dyDescent="0.3">
      <c r="A200" s="6" t="s">
        <v>2</v>
      </c>
      <c r="B200" s="6" t="s">
        <v>3</v>
      </c>
      <c r="C200" s="6" t="s">
        <v>4</v>
      </c>
      <c r="D200" s="6" t="s">
        <v>2</v>
      </c>
      <c r="E200" s="6" t="s">
        <v>3</v>
      </c>
      <c r="F200" s="6" t="s">
        <v>3</v>
      </c>
      <c r="G200" s="6" t="s">
        <v>2</v>
      </c>
      <c r="H200" s="6" t="s">
        <v>4</v>
      </c>
      <c r="I200" s="6" t="s">
        <v>2</v>
      </c>
      <c r="J200" s="6" t="s">
        <v>5</v>
      </c>
    </row>
    <row r="201" spans="1:10" x14ac:dyDescent="0.3">
      <c r="A201" s="6" t="s">
        <v>2</v>
      </c>
      <c r="B201" s="6" t="s">
        <v>3</v>
      </c>
      <c r="C201" s="6" t="s">
        <v>4</v>
      </c>
      <c r="D201" s="6" t="s">
        <v>2</v>
      </c>
      <c r="E201" s="6" t="s">
        <v>3</v>
      </c>
      <c r="F201" s="6" t="s">
        <v>4</v>
      </c>
      <c r="G201" s="6" t="s">
        <v>2</v>
      </c>
      <c r="H201" s="6" t="s">
        <v>2</v>
      </c>
      <c r="I201" s="6" t="s">
        <v>3</v>
      </c>
      <c r="J201" s="6" t="s">
        <v>5</v>
      </c>
    </row>
    <row r="202" spans="1:10" x14ac:dyDescent="0.3">
      <c r="A202" s="6" t="s">
        <v>2</v>
      </c>
      <c r="B202" s="6" t="s">
        <v>3</v>
      </c>
      <c r="C202" s="6" t="s">
        <v>4</v>
      </c>
      <c r="D202" s="6" t="s">
        <v>2</v>
      </c>
      <c r="E202" s="6" t="s">
        <v>3</v>
      </c>
      <c r="F202" s="6" t="s">
        <v>4</v>
      </c>
      <c r="G202" s="6" t="s">
        <v>2</v>
      </c>
      <c r="H202" s="6" t="s">
        <v>4</v>
      </c>
      <c r="I202" s="6" t="s">
        <v>4</v>
      </c>
      <c r="J202" s="6" t="s">
        <v>5</v>
      </c>
    </row>
    <row r="203" spans="1:10" x14ac:dyDescent="0.3">
      <c r="A203" s="6" t="s">
        <v>2</v>
      </c>
      <c r="B203" s="6" t="s">
        <v>3</v>
      </c>
      <c r="C203" s="6" t="s">
        <v>4</v>
      </c>
      <c r="D203" s="6" t="s">
        <v>2</v>
      </c>
      <c r="E203" s="6" t="s">
        <v>4</v>
      </c>
      <c r="F203" s="6" t="s">
        <v>2</v>
      </c>
      <c r="G203" s="6" t="s">
        <v>2</v>
      </c>
      <c r="H203" s="6" t="s">
        <v>3</v>
      </c>
      <c r="I203" s="6" t="s">
        <v>3</v>
      </c>
      <c r="J203" s="6" t="s">
        <v>5</v>
      </c>
    </row>
    <row r="204" spans="1:10" x14ac:dyDescent="0.3">
      <c r="A204" s="6" t="s">
        <v>2</v>
      </c>
      <c r="B204" s="6" t="s">
        <v>3</v>
      </c>
      <c r="C204" s="6" t="s">
        <v>4</v>
      </c>
      <c r="D204" s="6" t="s">
        <v>2</v>
      </c>
      <c r="E204" s="6" t="s">
        <v>4</v>
      </c>
      <c r="F204" s="6" t="s">
        <v>3</v>
      </c>
      <c r="G204" s="6" t="s">
        <v>2</v>
      </c>
      <c r="H204" s="6" t="s">
        <v>2</v>
      </c>
      <c r="I204" s="6" t="s">
        <v>3</v>
      </c>
      <c r="J204" s="6" t="s">
        <v>5</v>
      </c>
    </row>
    <row r="205" spans="1:10" x14ac:dyDescent="0.3">
      <c r="A205" s="6" t="s">
        <v>2</v>
      </c>
      <c r="B205" s="6" t="s">
        <v>3</v>
      </c>
      <c r="C205" s="6" t="s">
        <v>4</v>
      </c>
      <c r="D205" s="6" t="s">
        <v>2</v>
      </c>
      <c r="E205" s="6" t="s">
        <v>4</v>
      </c>
      <c r="F205" s="6" t="s">
        <v>3</v>
      </c>
      <c r="G205" s="6" t="s">
        <v>2</v>
      </c>
      <c r="H205" s="6" t="s">
        <v>3</v>
      </c>
      <c r="I205" s="6" t="s">
        <v>2</v>
      </c>
      <c r="J205" s="6" t="s">
        <v>5</v>
      </c>
    </row>
    <row r="206" spans="1:10" x14ac:dyDescent="0.3">
      <c r="A206" s="6" t="s">
        <v>2</v>
      </c>
      <c r="B206" s="6" t="s">
        <v>3</v>
      </c>
      <c r="C206" s="6" t="s">
        <v>4</v>
      </c>
      <c r="D206" s="6" t="s">
        <v>2</v>
      </c>
      <c r="E206" s="6" t="s">
        <v>4</v>
      </c>
      <c r="F206" s="6" t="s">
        <v>3</v>
      </c>
      <c r="G206" s="6" t="s">
        <v>2</v>
      </c>
      <c r="H206" s="6" t="s">
        <v>4</v>
      </c>
      <c r="I206" s="6" t="s">
        <v>4</v>
      </c>
      <c r="J206" s="6" t="s">
        <v>5</v>
      </c>
    </row>
    <row r="207" spans="1:10" x14ac:dyDescent="0.3">
      <c r="A207" s="6" t="s">
        <v>2</v>
      </c>
      <c r="B207" s="6" t="s">
        <v>3</v>
      </c>
      <c r="C207" s="6" t="s">
        <v>4</v>
      </c>
      <c r="D207" s="6" t="s">
        <v>2</v>
      </c>
      <c r="E207" s="6" t="s">
        <v>4</v>
      </c>
      <c r="F207" s="6" t="s">
        <v>4</v>
      </c>
      <c r="G207" s="6" t="s">
        <v>2</v>
      </c>
      <c r="H207" s="6" t="s">
        <v>3</v>
      </c>
      <c r="I207" s="6" t="s">
        <v>4</v>
      </c>
      <c r="J207" s="6" t="s">
        <v>5</v>
      </c>
    </row>
    <row r="208" spans="1:10" x14ac:dyDescent="0.3">
      <c r="A208" s="6" t="s">
        <v>2</v>
      </c>
      <c r="B208" s="6" t="s">
        <v>3</v>
      </c>
      <c r="C208" s="6" t="s">
        <v>4</v>
      </c>
      <c r="D208" s="6" t="s">
        <v>2</v>
      </c>
      <c r="E208" s="6" t="s">
        <v>4</v>
      </c>
      <c r="F208" s="6" t="s">
        <v>4</v>
      </c>
      <c r="G208" s="6" t="s">
        <v>2</v>
      </c>
      <c r="H208" s="6" t="s">
        <v>4</v>
      </c>
      <c r="I208" s="6" t="s">
        <v>3</v>
      </c>
      <c r="J208" s="6" t="s">
        <v>5</v>
      </c>
    </row>
    <row r="209" spans="1:10" x14ac:dyDescent="0.3">
      <c r="A209" s="6" t="s">
        <v>2</v>
      </c>
      <c r="B209" s="6" t="s">
        <v>3</v>
      </c>
      <c r="C209" s="6" t="s">
        <v>4</v>
      </c>
      <c r="D209" s="6" t="s">
        <v>3</v>
      </c>
      <c r="E209" s="6" t="s">
        <v>2</v>
      </c>
      <c r="F209" s="6" t="s">
        <v>2</v>
      </c>
      <c r="G209" s="6" t="s">
        <v>3</v>
      </c>
      <c r="H209" s="6" t="s">
        <v>4</v>
      </c>
      <c r="I209" s="6" t="s">
        <v>2</v>
      </c>
      <c r="J209" s="6" t="s">
        <v>5</v>
      </c>
    </row>
    <row r="210" spans="1:10" x14ac:dyDescent="0.3">
      <c r="A210" s="6" t="s">
        <v>2</v>
      </c>
      <c r="B210" s="6" t="s">
        <v>3</v>
      </c>
      <c r="C210" s="6" t="s">
        <v>4</v>
      </c>
      <c r="D210" s="6" t="s">
        <v>3</v>
      </c>
      <c r="E210" s="6" t="s">
        <v>2</v>
      </c>
      <c r="F210" s="6" t="s">
        <v>2</v>
      </c>
      <c r="G210" s="6" t="s">
        <v>4</v>
      </c>
      <c r="H210" s="6" t="s">
        <v>3</v>
      </c>
      <c r="I210" s="6" t="s">
        <v>2</v>
      </c>
      <c r="J210" s="6" t="s">
        <v>5</v>
      </c>
    </row>
    <row r="211" spans="1:10" x14ac:dyDescent="0.3">
      <c r="A211" s="6" t="s">
        <v>2</v>
      </c>
      <c r="B211" s="6" t="s">
        <v>3</v>
      </c>
      <c r="C211" s="6" t="s">
        <v>4</v>
      </c>
      <c r="D211" s="6" t="s">
        <v>3</v>
      </c>
      <c r="E211" s="6" t="s">
        <v>2</v>
      </c>
      <c r="F211" s="6" t="s">
        <v>3</v>
      </c>
      <c r="G211" s="6" t="s">
        <v>2</v>
      </c>
      <c r="H211" s="6" t="s">
        <v>4</v>
      </c>
      <c r="I211" s="6" t="s">
        <v>2</v>
      </c>
      <c r="J211" s="6" t="s">
        <v>5</v>
      </c>
    </row>
    <row r="212" spans="1:10" x14ac:dyDescent="0.3">
      <c r="A212" s="6" t="s">
        <v>2</v>
      </c>
      <c r="B212" s="6" t="s">
        <v>3</v>
      </c>
      <c r="C212" s="6" t="s">
        <v>4</v>
      </c>
      <c r="D212" s="6" t="s">
        <v>3</v>
      </c>
      <c r="E212" s="6" t="s">
        <v>2</v>
      </c>
      <c r="F212" s="6" t="s">
        <v>3</v>
      </c>
      <c r="G212" s="6" t="s">
        <v>4</v>
      </c>
      <c r="H212" s="6" t="s">
        <v>2</v>
      </c>
      <c r="I212" s="6" t="s">
        <v>2</v>
      </c>
      <c r="J212" s="6" t="s">
        <v>5</v>
      </c>
    </row>
    <row r="213" spans="1:10" x14ac:dyDescent="0.3">
      <c r="A213" s="6" t="s">
        <v>2</v>
      </c>
      <c r="B213" s="6" t="s">
        <v>3</v>
      </c>
      <c r="C213" s="6" t="s">
        <v>4</v>
      </c>
      <c r="D213" s="6" t="s">
        <v>3</v>
      </c>
      <c r="E213" s="6" t="s">
        <v>2</v>
      </c>
      <c r="F213" s="6" t="s">
        <v>4</v>
      </c>
      <c r="G213" s="6" t="s">
        <v>2</v>
      </c>
      <c r="H213" s="6" t="s">
        <v>3</v>
      </c>
      <c r="I213" s="6" t="s">
        <v>2</v>
      </c>
      <c r="J213" s="6" t="s">
        <v>5</v>
      </c>
    </row>
    <row r="214" spans="1:10" x14ac:dyDescent="0.3">
      <c r="A214" s="6" t="s">
        <v>2</v>
      </c>
      <c r="B214" s="6" t="s">
        <v>3</v>
      </c>
      <c r="C214" s="6" t="s">
        <v>4</v>
      </c>
      <c r="D214" s="6" t="s">
        <v>3</v>
      </c>
      <c r="E214" s="6" t="s">
        <v>2</v>
      </c>
      <c r="F214" s="6" t="s">
        <v>4</v>
      </c>
      <c r="G214" s="6" t="s">
        <v>3</v>
      </c>
      <c r="H214" s="6" t="s">
        <v>2</v>
      </c>
      <c r="I214" s="6" t="s">
        <v>2</v>
      </c>
      <c r="J214" s="6" t="s">
        <v>5</v>
      </c>
    </row>
    <row r="215" spans="1:10" x14ac:dyDescent="0.3">
      <c r="A215" s="6" t="s">
        <v>2</v>
      </c>
      <c r="B215" s="6" t="s">
        <v>3</v>
      </c>
      <c r="C215" s="6" t="s">
        <v>4</v>
      </c>
      <c r="D215" s="6" t="s">
        <v>3</v>
      </c>
      <c r="E215" s="6" t="s">
        <v>2</v>
      </c>
      <c r="F215" s="6" t="s">
        <v>4</v>
      </c>
      <c r="G215" s="6" t="s">
        <v>4</v>
      </c>
      <c r="H215" s="6" t="s">
        <v>4</v>
      </c>
      <c r="I215" s="6" t="s">
        <v>2</v>
      </c>
      <c r="J215" s="6" t="s">
        <v>5</v>
      </c>
    </row>
    <row r="216" spans="1:10" x14ac:dyDescent="0.3">
      <c r="A216" s="6" t="s">
        <v>2</v>
      </c>
      <c r="B216" s="6" t="s">
        <v>3</v>
      </c>
      <c r="C216" s="6" t="s">
        <v>4</v>
      </c>
      <c r="D216" s="6" t="s">
        <v>3</v>
      </c>
      <c r="E216" s="6" t="s">
        <v>3</v>
      </c>
      <c r="F216" s="6" t="s">
        <v>4</v>
      </c>
      <c r="G216" s="6" t="s">
        <v>2</v>
      </c>
      <c r="H216" s="6" t="s">
        <v>2</v>
      </c>
      <c r="I216" s="6" t="s">
        <v>2</v>
      </c>
      <c r="J216" s="6" t="s">
        <v>5</v>
      </c>
    </row>
    <row r="217" spans="1:10" x14ac:dyDescent="0.3">
      <c r="A217" s="6" t="s">
        <v>2</v>
      </c>
      <c r="B217" s="6" t="s">
        <v>3</v>
      </c>
      <c r="C217" s="6" t="s">
        <v>4</v>
      </c>
      <c r="D217" s="6" t="s">
        <v>3</v>
      </c>
      <c r="E217" s="6" t="s">
        <v>4</v>
      </c>
      <c r="F217" s="6" t="s">
        <v>3</v>
      </c>
      <c r="G217" s="6" t="s">
        <v>2</v>
      </c>
      <c r="H217" s="6" t="s">
        <v>2</v>
      </c>
      <c r="I217" s="6" t="s">
        <v>2</v>
      </c>
      <c r="J217" s="6" t="s">
        <v>5</v>
      </c>
    </row>
    <row r="218" spans="1:10" x14ac:dyDescent="0.3">
      <c r="A218" s="6" t="s">
        <v>2</v>
      </c>
      <c r="B218" s="6" t="s">
        <v>3</v>
      </c>
      <c r="C218" s="6" t="s">
        <v>4</v>
      </c>
      <c r="D218" s="6" t="s">
        <v>4</v>
      </c>
      <c r="E218" s="6" t="s">
        <v>2</v>
      </c>
      <c r="F218" s="6" t="s">
        <v>2</v>
      </c>
      <c r="G218" s="6" t="s">
        <v>3</v>
      </c>
      <c r="H218" s="6" t="s">
        <v>3</v>
      </c>
      <c r="I218" s="6" t="s">
        <v>2</v>
      </c>
      <c r="J218" s="6" t="s">
        <v>5</v>
      </c>
    </row>
    <row r="219" spans="1:10" x14ac:dyDescent="0.3">
      <c r="A219" s="6" t="s">
        <v>2</v>
      </c>
      <c r="B219" s="6" t="s">
        <v>3</v>
      </c>
      <c r="C219" s="6" t="s">
        <v>4</v>
      </c>
      <c r="D219" s="6" t="s">
        <v>4</v>
      </c>
      <c r="E219" s="6" t="s">
        <v>2</v>
      </c>
      <c r="F219" s="6" t="s">
        <v>3</v>
      </c>
      <c r="G219" s="6" t="s">
        <v>2</v>
      </c>
      <c r="H219" s="6" t="s">
        <v>3</v>
      </c>
      <c r="I219" s="6" t="s">
        <v>2</v>
      </c>
      <c r="J219" s="6" t="s">
        <v>5</v>
      </c>
    </row>
    <row r="220" spans="1:10" x14ac:dyDescent="0.3">
      <c r="A220" s="6" t="s">
        <v>2</v>
      </c>
      <c r="B220" s="6" t="s">
        <v>3</v>
      </c>
      <c r="C220" s="6" t="s">
        <v>4</v>
      </c>
      <c r="D220" s="6" t="s">
        <v>4</v>
      </c>
      <c r="E220" s="6" t="s">
        <v>2</v>
      </c>
      <c r="F220" s="6" t="s">
        <v>3</v>
      </c>
      <c r="G220" s="6" t="s">
        <v>3</v>
      </c>
      <c r="H220" s="6" t="s">
        <v>2</v>
      </c>
      <c r="I220" s="6" t="s">
        <v>2</v>
      </c>
      <c r="J220" s="6" t="s">
        <v>5</v>
      </c>
    </row>
    <row r="221" spans="1:10" x14ac:dyDescent="0.3">
      <c r="A221" s="6" t="s">
        <v>2</v>
      </c>
      <c r="B221" s="6" t="s">
        <v>3</v>
      </c>
      <c r="C221" s="6" t="s">
        <v>4</v>
      </c>
      <c r="D221" s="6" t="s">
        <v>4</v>
      </c>
      <c r="E221" s="6" t="s">
        <v>2</v>
      </c>
      <c r="F221" s="6" t="s">
        <v>3</v>
      </c>
      <c r="G221" s="6" t="s">
        <v>4</v>
      </c>
      <c r="H221" s="6" t="s">
        <v>4</v>
      </c>
      <c r="I221" s="6" t="s">
        <v>2</v>
      </c>
      <c r="J221" s="6" t="s">
        <v>5</v>
      </c>
    </row>
    <row r="222" spans="1:10" x14ac:dyDescent="0.3">
      <c r="A222" s="6" t="s">
        <v>2</v>
      </c>
      <c r="B222" s="6" t="s">
        <v>3</v>
      </c>
      <c r="C222" s="6" t="s">
        <v>4</v>
      </c>
      <c r="D222" s="6" t="s">
        <v>4</v>
      </c>
      <c r="E222" s="6" t="s">
        <v>2</v>
      </c>
      <c r="F222" s="6" t="s">
        <v>4</v>
      </c>
      <c r="G222" s="6" t="s">
        <v>3</v>
      </c>
      <c r="H222" s="6" t="s">
        <v>4</v>
      </c>
      <c r="I222" s="6" t="s">
        <v>2</v>
      </c>
      <c r="J222" s="6" t="s">
        <v>5</v>
      </c>
    </row>
    <row r="223" spans="1:10" x14ac:dyDescent="0.3">
      <c r="A223" s="6" t="s">
        <v>2</v>
      </c>
      <c r="B223" s="6" t="s">
        <v>3</v>
      </c>
      <c r="C223" s="6" t="s">
        <v>4</v>
      </c>
      <c r="D223" s="6" t="s">
        <v>4</v>
      </c>
      <c r="E223" s="6" t="s">
        <v>2</v>
      </c>
      <c r="F223" s="6" t="s">
        <v>4</v>
      </c>
      <c r="G223" s="6" t="s">
        <v>4</v>
      </c>
      <c r="H223" s="6" t="s">
        <v>3</v>
      </c>
      <c r="I223" s="6" t="s">
        <v>2</v>
      </c>
      <c r="J223" s="6" t="s">
        <v>5</v>
      </c>
    </row>
    <row r="224" spans="1:10" x14ac:dyDescent="0.3">
      <c r="A224" s="6" t="s">
        <v>2</v>
      </c>
      <c r="B224" s="6" t="s">
        <v>3</v>
      </c>
      <c r="C224" s="6" t="s">
        <v>4</v>
      </c>
      <c r="D224" s="6" t="s">
        <v>4</v>
      </c>
      <c r="E224" s="6" t="s">
        <v>3</v>
      </c>
      <c r="F224" s="6" t="s">
        <v>3</v>
      </c>
      <c r="G224" s="6" t="s">
        <v>2</v>
      </c>
      <c r="H224" s="6" t="s">
        <v>2</v>
      </c>
      <c r="I224" s="6" t="s">
        <v>2</v>
      </c>
      <c r="J224" s="6" t="s">
        <v>5</v>
      </c>
    </row>
    <row r="225" spans="1:10" x14ac:dyDescent="0.3">
      <c r="A225" s="6" t="s">
        <v>2</v>
      </c>
      <c r="B225" s="6" t="s">
        <v>4</v>
      </c>
      <c r="C225" s="6" t="s">
        <v>2</v>
      </c>
      <c r="D225" s="6" t="s">
        <v>2</v>
      </c>
      <c r="E225" s="6" t="s">
        <v>3</v>
      </c>
      <c r="F225" s="6" t="s">
        <v>3</v>
      </c>
      <c r="G225" s="6" t="s">
        <v>2</v>
      </c>
      <c r="H225" s="6" t="s">
        <v>3</v>
      </c>
      <c r="I225" s="6" t="s">
        <v>4</v>
      </c>
      <c r="J225" s="6" t="s">
        <v>5</v>
      </c>
    </row>
    <row r="226" spans="1:10" x14ac:dyDescent="0.3">
      <c r="A226" s="6" t="s">
        <v>2</v>
      </c>
      <c r="B226" s="6" t="s">
        <v>4</v>
      </c>
      <c r="C226" s="6" t="s">
        <v>2</v>
      </c>
      <c r="D226" s="6" t="s">
        <v>2</v>
      </c>
      <c r="E226" s="6" t="s">
        <v>3</v>
      </c>
      <c r="F226" s="6" t="s">
        <v>3</v>
      </c>
      <c r="G226" s="6" t="s">
        <v>2</v>
      </c>
      <c r="H226" s="6" t="s">
        <v>4</v>
      </c>
      <c r="I226" s="6" t="s">
        <v>3</v>
      </c>
      <c r="J226" s="6" t="s">
        <v>5</v>
      </c>
    </row>
    <row r="227" spans="1:10" x14ac:dyDescent="0.3">
      <c r="A227" s="6" t="s">
        <v>2</v>
      </c>
      <c r="B227" s="6" t="s">
        <v>4</v>
      </c>
      <c r="C227" s="6" t="s">
        <v>2</v>
      </c>
      <c r="D227" s="6" t="s">
        <v>2</v>
      </c>
      <c r="E227" s="6" t="s">
        <v>3</v>
      </c>
      <c r="F227" s="6" t="s">
        <v>4</v>
      </c>
      <c r="G227" s="6" t="s">
        <v>2</v>
      </c>
      <c r="H227" s="6" t="s">
        <v>3</v>
      </c>
      <c r="I227" s="6" t="s">
        <v>3</v>
      </c>
      <c r="J227" s="6" t="s">
        <v>5</v>
      </c>
    </row>
    <row r="228" spans="1:10" x14ac:dyDescent="0.3">
      <c r="A228" s="6" t="s">
        <v>2</v>
      </c>
      <c r="B228" s="6" t="s">
        <v>4</v>
      </c>
      <c r="C228" s="6" t="s">
        <v>2</v>
      </c>
      <c r="D228" s="6" t="s">
        <v>2</v>
      </c>
      <c r="E228" s="6" t="s">
        <v>4</v>
      </c>
      <c r="F228" s="6" t="s">
        <v>3</v>
      </c>
      <c r="G228" s="6" t="s">
        <v>2</v>
      </c>
      <c r="H228" s="6" t="s">
        <v>3</v>
      </c>
      <c r="I228" s="6" t="s">
        <v>3</v>
      </c>
      <c r="J228" s="6" t="s">
        <v>5</v>
      </c>
    </row>
    <row r="229" spans="1:10" x14ac:dyDescent="0.3">
      <c r="A229" s="6" t="s">
        <v>2</v>
      </c>
      <c r="B229" s="6" t="s">
        <v>4</v>
      </c>
      <c r="C229" s="6" t="s">
        <v>2</v>
      </c>
      <c r="D229" s="6" t="s">
        <v>3</v>
      </c>
      <c r="E229" s="6" t="s">
        <v>2</v>
      </c>
      <c r="F229" s="6" t="s">
        <v>3</v>
      </c>
      <c r="G229" s="6" t="s">
        <v>2</v>
      </c>
      <c r="H229" s="6" t="s">
        <v>3</v>
      </c>
      <c r="I229" s="6" t="s">
        <v>4</v>
      </c>
      <c r="J229" s="6" t="s">
        <v>5</v>
      </c>
    </row>
    <row r="230" spans="1:10" x14ac:dyDescent="0.3">
      <c r="A230" s="6" t="s">
        <v>2</v>
      </c>
      <c r="B230" s="6" t="s">
        <v>4</v>
      </c>
      <c r="C230" s="6" t="s">
        <v>2</v>
      </c>
      <c r="D230" s="6" t="s">
        <v>3</v>
      </c>
      <c r="E230" s="6" t="s">
        <v>2</v>
      </c>
      <c r="F230" s="6" t="s">
        <v>3</v>
      </c>
      <c r="G230" s="6" t="s">
        <v>2</v>
      </c>
      <c r="H230" s="6" t="s">
        <v>4</v>
      </c>
      <c r="I230" s="6" t="s">
        <v>3</v>
      </c>
      <c r="J230" s="6" t="s">
        <v>5</v>
      </c>
    </row>
    <row r="231" spans="1:10" x14ac:dyDescent="0.3">
      <c r="A231" s="6" t="s">
        <v>2</v>
      </c>
      <c r="B231" s="6" t="s">
        <v>4</v>
      </c>
      <c r="C231" s="6" t="s">
        <v>2</v>
      </c>
      <c r="D231" s="6" t="s">
        <v>3</v>
      </c>
      <c r="E231" s="6" t="s">
        <v>2</v>
      </c>
      <c r="F231" s="6" t="s">
        <v>3</v>
      </c>
      <c r="G231" s="6" t="s">
        <v>3</v>
      </c>
      <c r="H231" s="6" t="s">
        <v>4</v>
      </c>
      <c r="I231" s="6" t="s">
        <v>2</v>
      </c>
      <c r="J231" s="6" t="s">
        <v>5</v>
      </c>
    </row>
    <row r="232" spans="1:10" x14ac:dyDescent="0.3">
      <c r="A232" s="6" t="s">
        <v>2</v>
      </c>
      <c r="B232" s="6" t="s">
        <v>4</v>
      </c>
      <c r="C232" s="6" t="s">
        <v>2</v>
      </c>
      <c r="D232" s="6" t="s">
        <v>3</v>
      </c>
      <c r="E232" s="6" t="s">
        <v>2</v>
      </c>
      <c r="F232" s="6" t="s">
        <v>3</v>
      </c>
      <c r="G232" s="6" t="s">
        <v>4</v>
      </c>
      <c r="H232" s="6" t="s">
        <v>3</v>
      </c>
      <c r="I232" s="6" t="s">
        <v>2</v>
      </c>
      <c r="J232" s="6" t="s">
        <v>5</v>
      </c>
    </row>
    <row r="233" spans="1:10" x14ac:dyDescent="0.3">
      <c r="A233" s="6" t="s">
        <v>2</v>
      </c>
      <c r="B233" s="6" t="s">
        <v>4</v>
      </c>
      <c r="C233" s="6" t="s">
        <v>2</v>
      </c>
      <c r="D233" s="6" t="s">
        <v>3</v>
      </c>
      <c r="E233" s="6" t="s">
        <v>2</v>
      </c>
      <c r="F233" s="6" t="s">
        <v>4</v>
      </c>
      <c r="G233" s="6" t="s">
        <v>2</v>
      </c>
      <c r="H233" s="6" t="s">
        <v>3</v>
      </c>
      <c r="I233" s="6" t="s">
        <v>3</v>
      </c>
      <c r="J233" s="6" t="s">
        <v>5</v>
      </c>
    </row>
    <row r="234" spans="1:10" x14ac:dyDescent="0.3">
      <c r="A234" s="6" t="s">
        <v>2</v>
      </c>
      <c r="B234" s="6" t="s">
        <v>4</v>
      </c>
      <c r="C234" s="6" t="s">
        <v>2</v>
      </c>
      <c r="D234" s="6" t="s">
        <v>3</v>
      </c>
      <c r="E234" s="6" t="s">
        <v>2</v>
      </c>
      <c r="F234" s="6" t="s">
        <v>4</v>
      </c>
      <c r="G234" s="6" t="s">
        <v>3</v>
      </c>
      <c r="H234" s="6" t="s">
        <v>3</v>
      </c>
      <c r="I234" s="6" t="s">
        <v>2</v>
      </c>
      <c r="J234" s="6" t="s">
        <v>5</v>
      </c>
    </row>
    <row r="235" spans="1:10" x14ac:dyDescent="0.3">
      <c r="A235" s="6" t="s">
        <v>2</v>
      </c>
      <c r="B235" s="6" t="s">
        <v>4</v>
      </c>
      <c r="C235" s="6" t="s">
        <v>2</v>
      </c>
      <c r="D235" s="6" t="s">
        <v>3</v>
      </c>
      <c r="E235" s="6" t="s">
        <v>3</v>
      </c>
      <c r="F235" s="6" t="s">
        <v>2</v>
      </c>
      <c r="G235" s="6" t="s">
        <v>3</v>
      </c>
      <c r="H235" s="6" t="s">
        <v>4</v>
      </c>
      <c r="I235" s="6" t="s">
        <v>2</v>
      </c>
      <c r="J235" s="6" t="s">
        <v>5</v>
      </c>
    </row>
    <row r="236" spans="1:10" x14ac:dyDescent="0.3">
      <c r="A236" s="6" t="s">
        <v>2</v>
      </c>
      <c r="B236" s="6" t="s">
        <v>4</v>
      </c>
      <c r="C236" s="6" t="s">
        <v>2</v>
      </c>
      <c r="D236" s="6" t="s">
        <v>3</v>
      </c>
      <c r="E236" s="6" t="s">
        <v>3</v>
      </c>
      <c r="F236" s="6" t="s">
        <v>2</v>
      </c>
      <c r="G236" s="6" t="s">
        <v>4</v>
      </c>
      <c r="H236" s="6" t="s">
        <v>3</v>
      </c>
      <c r="I236" s="6" t="s">
        <v>2</v>
      </c>
      <c r="J236" s="6" t="s">
        <v>5</v>
      </c>
    </row>
    <row r="237" spans="1:10" x14ac:dyDescent="0.3">
      <c r="A237" s="6" t="s">
        <v>2</v>
      </c>
      <c r="B237" s="6" t="s">
        <v>4</v>
      </c>
      <c r="C237" s="6" t="s">
        <v>2</v>
      </c>
      <c r="D237" s="6" t="s">
        <v>3</v>
      </c>
      <c r="E237" s="6" t="s">
        <v>4</v>
      </c>
      <c r="F237" s="6" t="s">
        <v>2</v>
      </c>
      <c r="G237" s="6" t="s">
        <v>3</v>
      </c>
      <c r="H237" s="6" t="s">
        <v>3</v>
      </c>
      <c r="I237" s="6" t="s">
        <v>2</v>
      </c>
      <c r="J237" s="6" t="s">
        <v>5</v>
      </c>
    </row>
    <row r="238" spans="1:10" x14ac:dyDescent="0.3">
      <c r="A238" s="6" t="s">
        <v>2</v>
      </c>
      <c r="B238" s="6" t="s">
        <v>4</v>
      </c>
      <c r="C238" s="6" t="s">
        <v>2</v>
      </c>
      <c r="D238" s="6" t="s">
        <v>4</v>
      </c>
      <c r="E238" s="6" t="s">
        <v>2</v>
      </c>
      <c r="F238" s="6" t="s">
        <v>3</v>
      </c>
      <c r="G238" s="6" t="s">
        <v>2</v>
      </c>
      <c r="H238" s="6" t="s">
        <v>3</v>
      </c>
      <c r="I238" s="6" t="s">
        <v>3</v>
      </c>
      <c r="J238" s="6" t="s">
        <v>5</v>
      </c>
    </row>
    <row r="239" spans="1:10" x14ac:dyDescent="0.3">
      <c r="A239" s="6" t="s">
        <v>2</v>
      </c>
      <c r="B239" s="6" t="s">
        <v>4</v>
      </c>
      <c r="C239" s="6" t="s">
        <v>2</v>
      </c>
      <c r="D239" s="6" t="s">
        <v>4</v>
      </c>
      <c r="E239" s="6" t="s">
        <v>2</v>
      </c>
      <c r="F239" s="6" t="s">
        <v>3</v>
      </c>
      <c r="G239" s="6" t="s">
        <v>3</v>
      </c>
      <c r="H239" s="6" t="s">
        <v>3</v>
      </c>
      <c r="I239" s="6" t="s">
        <v>2</v>
      </c>
      <c r="J239" s="6" t="s">
        <v>5</v>
      </c>
    </row>
    <row r="240" spans="1:10" x14ac:dyDescent="0.3">
      <c r="A240" s="6" t="s">
        <v>2</v>
      </c>
      <c r="B240" s="6" t="s">
        <v>4</v>
      </c>
      <c r="C240" s="6" t="s">
        <v>2</v>
      </c>
      <c r="D240" s="6" t="s">
        <v>4</v>
      </c>
      <c r="E240" s="6" t="s">
        <v>3</v>
      </c>
      <c r="F240" s="6" t="s">
        <v>2</v>
      </c>
      <c r="G240" s="6" t="s">
        <v>3</v>
      </c>
      <c r="H240" s="6" t="s">
        <v>3</v>
      </c>
      <c r="I240" s="6" t="s">
        <v>2</v>
      </c>
      <c r="J240" s="6" t="s">
        <v>5</v>
      </c>
    </row>
    <row r="241" spans="1:10" x14ac:dyDescent="0.3">
      <c r="A241" s="6" t="s">
        <v>2</v>
      </c>
      <c r="B241" s="6" t="s">
        <v>4</v>
      </c>
      <c r="C241" s="6" t="s">
        <v>3</v>
      </c>
      <c r="D241" s="6" t="s">
        <v>2</v>
      </c>
      <c r="E241" s="6" t="s">
        <v>2</v>
      </c>
      <c r="F241" s="6" t="s">
        <v>2</v>
      </c>
      <c r="G241" s="6" t="s">
        <v>3</v>
      </c>
      <c r="H241" s="6" t="s">
        <v>3</v>
      </c>
      <c r="I241" s="6" t="s">
        <v>4</v>
      </c>
      <c r="J241" s="6" t="s">
        <v>5</v>
      </c>
    </row>
    <row r="242" spans="1:10" x14ac:dyDescent="0.3">
      <c r="A242" s="6" t="s">
        <v>2</v>
      </c>
      <c r="B242" s="6" t="s">
        <v>4</v>
      </c>
      <c r="C242" s="6" t="s">
        <v>3</v>
      </c>
      <c r="D242" s="6" t="s">
        <v>2</v>
      </c>
      <c r="E242" s="6" t="s">
        <v>2</v>
      </c>
      <c r="F242" s="6" t="s">
        <v>2</v>
      </c>
      <c r="G242" s="6" t="s">
        <v>3</v>
      </c>
      <c r="H242" s="6" t="s">
        <v>4</v>
      </c>
      <c r="I242" s="6" t="s">
        <v>3</v>
      </c>
      <c r="J242" s="6" t="s">
        <v>5</v>
      </c>
    </row>
    <row r="243" spans="1:10" x14ac:dyDescent="0.3">
      <c r="A243" s="6" t="s">
        <v>2</v>
      </c>
      <c r="B243" s="6" t="s">
        <v>4</v>
      </c>
      <c r="C243" s="6" t="s">
        <v>3</v>
      </c>
      <c r="D243" s="6" t="s">
        <v>2</v>
      </c>
      <c r="E243" s="6" t="s">
        <v>2</v>
      </c>
      <c r="F243" s="6" t="s">
        <v>2</v>
      </c>
      <c r="G243" s="6" t="s">
        <v>4</v>
      </c>
      <c r="H243" s="6" t="s">
        <v>3</v>
      </c>
      <c r="I243" s="6" t="s">
        <v>3</v>
      </c>
      <c r="J243" s="6" t="s">
        <v>5</v>
      </c>
    </row>
    <row r="244" spans="1:10" x14ac:dyDescent="0.3">
      <c r="A244" s="6" t="s">
        <v>2</v>
      </c>
      <c r="B244" s="6" t="s">
        <v>4</v>
      </c>
      <c r="C244" s="6" t="s">
        <v>3</v>
      </c>
      <c r="D244" s="6" t="s">
        <v>2</v>
      </c>
      <c r="E244" s="6" t="s">
        <v>2</v>
      </c>
      <c r="F244" s="6" t="s">
        <v>3</v>
      </c>
      <c r="G244" s="6" t="s">
        <v>2</v>
      </c>
      <c r="H244" s="6" t="s">
        <v>3</v>
      </c>
      <c r="I244" s="6" t="s">
        <v>4</v>
      </c>
      <c r="J244" s="6" t="s">
        <v>5</v>
      </c>
    </row>
    <row r="245" spans="1:10" x14ac:dyDescent="0.3">
      <c r="A245" s="6" t="s">
        <v>2</v>
      </c>
      <c r="B245" s="6" t="s">
        <v>4</v>
      </c>
      <c r="C245" s="6" t="s">
        <v>3</v>
      </c>
      <c r="D245" s="6" t="s">
        <v>2</v>
      </c>
      <c r="E245" s="6" t="s">
        <v>2</v>
      </c>
      <c r="F245" s="6" t="s">
        <v>3</v>
      </c>
      <c r="G245" s="6" t="s">
        <v>3</v>
      </c>
      <c r="H245" s="6" t="s">
        <v>4</v>
      </c>
      <c r="I245" s="6" t="s">
        <v>2</v>
      </c>
      <c r="J245" s="6" t="s">
        <v>5</v>
      </c>
    </row>
    <row r="246" spans="1:10" x14ac:dyDescent="0.3">
      <c r="A246" s="6" t="s">
        <v>2</v>
      </c>
      <c r="B246" s="6" t="s">
        <v>4</v>
      </c>
      <c r="C246" s="6" t="s">
        <v>3</v>
      </c>
      <c r="D246" s="6" t="s">
        <v>2</v>
      </c>
      <c r="E246" s="6" t="s">
        <v>2</v>
      </c>
      <c r="F246" s="6" t="s">
        <v>3</v>
      </c>
      <c r="G246" s="6" t="s">
        <v>4</v>
      </c>
      <c r="H246" s="6" t="s">
        <v>3</v>
      </c>
      <c r="I246" s="6" t="s">
        <v>2</v>
      </c>
      <c r="J246" s="6" t="s">
        <v>5</v>
      </c>
    </row>
    <row r="247" spans="1:10" x14ac:dyDescent="0.3">
      <c r="A247" s="6" t="s">
        <v>2</v>
      </c>
      <c r="B247" s="6" t="s">
        <v>4</v>
      </c>
      <c r="C247" s="6" t="s">
        <v>3</v>
      </c>
      <c r="D247" s="6" t="s">
        <v>2</v>
      </c>
      <c r="E247" s="6" t="s">
        <v>2</v>
      </c>
      <c r="F247" s="6" t="s">
        <v>4</v>
      </c>
      <c r="G247" s="6" t="s">
        <v>2</v>
      </c>
      <c r="H247" s="6" t="s">
        <v>3</v>
      </c>
      <c r="I247" s="6" t="s">
        <v>3</v>
      </c>
      <c r="J247" s="6" t="s">
        <v>5</v>
      </c>
    </row>
    <row r="248" spans="1:10" x14ac:dyDescent="0.3">
      <c r="A248" s="6" t="s">
        <v>2</v>
      </c>
      <c r="B248" s="6" t="s">
        <v>4</v>
      </c>
      <c r="C248" s="6" t="s">
        <v>3</v>
      </c>
      <c r="D248" s="6" t="s">
        <v>2</v>
      </c>
      <c r="E248" s="6" t="s">
        <v>2</v>
      </c>
      <c r="F248" s="6" t="s">
        <v>4</v>
      </c>
      <c r="G248" s="6" t="s">
        <v>3</v>
      </c>
      <c r="H248" s="6" t="s">
        <v>3</v>
      </c>
      <c r="I248" s="6" t="s">
        <v>2</v>
      </c>
      <c r="J248" s="6" t="s">
        <v>5</v>
      </c>
    </row>
    <row r="249" spans="1:10" x14ac:dyDescent="0.3">
      <c r="A249" s="6" t="s">
        <v>2</v>
      </c>
      <c r="B249" s="6" t="s">
        <v>4</v>
      </c>
      <c r="C249" s="6" t="s">
        <v>3</v>
      </c>
      <c r="D249" s="6" t="s">
        <v>2</v>
      </c>
      <c r="E249" s="6" t="s">
        <v>3</v>
      </c>
      <c r="F249" s="6" t="s">
        <v>2</v>
      </c>
      <c r="G249" s="6" t="s">
        <v>2</v>
      </c>
      <c r="H249" s="6" t="s">
        <v>3</v>
      </c>
      <c r="I249" s="6" t="s">
        <v>4</v>
      </c>
      <c r="J249" s="6" t="s">
        <v>5</v>
      </c>
    </row>
    <row r="250" spans="1:10" x14ac:dyDescent="0.3">
      <c r="A250" s="6" t="s">
        <v>2</v>
      </c>
      <c r="B250" s="6" t="s">
        <v>4</v>
      </c>
      <c r="C250" s="6" t="s">
        <v>3</v>
      </c>
      <c r="D250" s="6" t="s">
        <v>2</v>
      </c>
      <c r="E250" s="6" t="s">
        <v>3</v>
      </c>
      <c r="F250" s="6" t="s">
        <v>2</v>
      </c>
      <c r="G250" s="6" t="s">
        <v>2</v>
      </c>
      <c r="H250" s="6" t="s">
        <v>4</v>
      </c>
      <c r="I250" s="6" t="s">
        <v>3</v>
      </c>
      <c r="J250" s="6" t="s">
        <v>5</v>
      </c>
    </row>
    <row r="251" spans="1:10" x14ac:dyDescent="0.3">
      <c r="A251" s="6" t="s">
        <v>2</v>
      </c>
      <c r="B251" s="6" t="s">
        <v>4</v>
      </c>
      <c r="C251" s="6" t="s">
        <v>3</v>
      </c>
      <c r="D251" s="6" t="s">
        <v>2</v>
      </c>
      <c r="E251" s="6" t="s">
        <v>3</v>
      </c>
      <c r="F251" s="6" t="s">
        <v>3</v>
      </c>
      <c r="G251" s="6" t="s">
        <v>2</v>
      </c>
      <c r="H251" s="6" t="s">
        <v>2</v>
      </c>
      <c r="I251" s="6" t="s">
        <v>4</v>
      </c>
      <c r="J251" s="6" t="s">
        <v>5</v>
      </c>
    </row>
    <row r="252" spans="1:10" x14ac:dyDescent="0.3">
      <c r="A252" s="6" t="s">
        <v>2</v>
      </c>
      <c r="B252" s="6" t="s">
        <v>4</v>
      </c>
      <c r="C252" s="6" t="s">
        <v>3</v>
      </c>
      <c r="D252" s="6" t="s">
        <v>2</v>
      </c>
      <c r="E252" s="6" t="s">
        <v>3</v>
      </c>
      <c r="F252" s="6" t="s">
        <v>3</v>
      </c>
      <c r="G252" s="6" t="s">
        <v>2</v>
      </c>
      <c r="H252" s="6" t="s">
        <v>4</v>
      </c>
      <c r="I252" s="6" t="s">
        <v>2</v>
      </c>
      <c r="J252" s="6" t="s">
        <v>5</v>
      </c>
    </row>
    <row r="253" spans="1:10" x14ac:dyDescent="0.3">
      <c r="A253" s="6" t="s">
        <v>2</v>
      </c>
      <c r="B253" s="6" t="s">
        <v>4</v>
      </c>
      <c r="C253" s="6" t="s">
        <v>3</v>
      </c>
      <c r="D253" s="6" t="s">
        <v>2</v>
      </c>
      <c r="E253" s="6" t="s">
        <v>3</v>
      </c>
      <c r="F253" s="6" t="s">
        <v>4</v>
      </c>
      <c r="G253" s="6" t="s">
        <v>2</v>
      </c>
      <c r="H253" s="6" t="s">
        <v>2</v>
      </c>
      <c r="I253" s="6" t="s">
        <v>3</v>
      </c>
      <c r="J253" s="6" t="s">
        <v>5</v>
      </c>
    </row>
    <row r="254" spans="1:10" x14ac:dyDescent="0.3">
      <c r="A254" s="6" t="s">
        <v>2</v>
      </c>
      <c r="B254" s="6" t="s">
        <v>4</v>
      </c>
      <c r="C254" s="6" t="s">
        <v>3</v>
      </c>
      <c r="D254" s="6" t="s">
        <v>2</v>
      </c>
      <c r="E254" s="6" t="s">
        <v>3</v>
      </c>
      <c r="F254" s="6" t="s">
        <v>4</v>
      </c>
      <c r="G254" s="6" t="s">
        <v>2</v>
      </c>
      <c r="H254" s="6" t="s">
        <v>3</v>
      </c>
      <c r="I254" s="6" t="s">
        <v>2</v>
      </c>
      <c r="J254" s="6" t="s">
        <v>5</v>
      </c>
    </row>
    <row r="255" spans="1:10" x14ac:dyDescent="0.3">
      <c r="A255" s="6" t="s">
        <v>2</v>
      </c>
      <c r="B255" s="6" t="s">
        <v>4</v>
      </c>
      <c r="C255" s="6" t="s">
        <v>3</v>
      </c>
      <c r="D255" s="6" t="s">
        <v>2</v>
      </c>
      <c r="E255" s="6" t="s">
        <v>3</v>
      </c>
      <c r="F255" s="6" t="s">
        <v>4</v>
      </c>
      <c r="G255" s="6" t="s">
        <v>2</v>
      </c>
      <c r="H255" s="6" t="s">
        <v>4</v>
      </c>
      <c r="I255" s="6" t="s">
        <v>4</v>
      </c>
      <c r="J255" s="6" t="s">
        <v>5</v>
      </c>
    </row>
    <row r="256" spans="1:10" x14ac:dyDescent="0.3">
      <c r="A256" s="6" t="s">
        <v>2</v>
      </c>
      <c r="B256" s="6" t="s">
        <v>4</v>
      </c>
      <c r="C256" s="6" t="s">
        <v>3</v>
      </c>
      <c r="D256" s="6" t="s">
        <v>2</v>
      </c>
      <c r="E256" s="6" t="s">
        <v>4</v>
      </c>
      <c r="F256" s="6" t="s">
        <v>2</v>
      </c>
      <c r="G256" s="6" t="s">
        <v>2</v>
      </c>
      <c r="H256" s="6" t="s">
        <v>3</v>
      </c>
      <c r="I256" s="6" t="s">
        <v>3</v>
      </c>
      <c r="J256" s="6" t="s">
        <v>5</v>
      </c>
    </row>
    <row r="257" spans="1:10" x14ac:dyDescent="0.3">
      <c r="A257" s="6" t="s">
        <v>2</v>
      </c>
      <c r="B257" s="6" t="s">
        <v>4</v>
      </c>
      <c r="C257" s="6" t="s">
        <v>3</v>
      </c>
      <c r="D257" s="6" t="s">
        <v>2</v>
      </c>
      <c r="E257" s="6" t="s">
        <v>4</v>
      </c>
      <c r="F257" s="6" t="s">
        <v>3</v>
      </c>
      <c r="G257" s="6" t="s">
        <v>2</v>
      </c>
      <c r="H257" s="6" t="s">
        <v>3</v>
      </c>
      <c r="I257" s="6" t="s">
        <v>2</v>
      </c>
      <c r="J257" s="6" t="s">
        <v>5</v>
      </c>
    </row>
    <row r="258" spans="1:10" x14ac:dyDescent="0.3">
      <c r="A258" s="6" t="s">
        <v>2</v>
      </c>
      <c r="B258" s="6" t="s">
        <v>4</v>
      </c>
      <c r="C258" s="6" t="s">
        <v>3</v>
      </c>
      <c r="D258" s="6" t="s">
        <v>2</v>
      </c>
      <c r="E258" s="6" t="s">
        <v>4</v>
      </c>
      <c r="F258" s="6" t="s">
        <v>3</v>
      </c>
      <c r="G258" s="6" t="s">
        <v>2</v>
      </c>
      <c r="H258" s="6" t="s">
        <v>4</v>
      </c>
      <c r="I258" s="6" t="s">
        <v>4</v>
      </c>
      <c r="J258" s="6" t="s">
        <v>5</v>
      </c>
    </row>
    <row r="259" spans="1:10" x14ac:dyDescent="0.3">
      <c r="A259" s="6" t="s">
        <v>2</v>
      </c>
      <c r="B259" s="6" t="s">
        <v>4</v>
      </c>
      <c r="C259" s="6" t="s">
        <v>3</v>
      </c>
      <c r="D259" s="6" t="s">
        <v>2</v>
      </c>
      <c r="E259" s="6" t="s">
        <v>4</v>
      </c>
      <c r="F259" s="6" t="s">
        <v>4</v>
      </c>
      <c r="G259" s="6" t="s">
        <v>2</v>
      </c>
      <c r="H259" s="6" t="s">
        <v>3</v>
      </c>
      <c r="I259" s="6" t="s">
        <v>4</v>
      </c>
      <c r="J259" s="6" t="s">
        <v>5</v>
      </c>
    </row>
    <row r="260" spans="1:10" x14ac:dyDescent="0.3">
      <c r="A260" s="6" t="s">
        <v>2</v>
      </c>
      <c r="B260" s="6" t="s">
        <v>4</v>
      </c>
      <c r="C260" s="6" t="s">
        <v>3</v>
      </c>
      <c r="D260" s="6" t="s">
        <v>2</v>
      </c>
      <c r="E260" s="6" t="s">
        <v>4</v>
      </c>
      <c r="F260" s="6" t="s">
        <v>4</v>
      </c>
      <c r="G260" s="6" t="s">
        <v>2</v>
      </c>
      <c r="H260" s="6" t="s">
        <v>4</v>
      </c>
      <c r="I260" s="6" t="s">
        <v>3</v>
      </c>
      <c r="J260" s="6" t="s">
        <v>5</v>
      </c>
    </row>
    <row r="261" spans="1:10" x14ac:dyDescent="0.3">
      <c r="A261" s="6" t="s">
        <v>2</v>
      </c>
      <c r="B261" s="6" t="s">
        <v>4</v>
      </c>
      <c r="C261" s="6" t="s">
        <v>3</v>
      </c>
      <c r="D261" s="6" t="s">
        <v>3</v>
      </c>
      <c r="E261" s="6" t="s">
        <v>2</v>
      </c>
      <c r="F261" s="6" t="s">
        <v>2</v>
      </c>
      <c r="G261" s="6" t="s">
        <v>3</v>
      </c>
      <c r="H261" s="6" t="s">
        <v>4</v>
      </c>
      <c r="I261" s="6" t="s">
        <v>2</v>
      </c>
      <c r="J261" s="6" t="s">
        <v>5</v>
      </c>
    </row>
    <row r="262" spans="1:10" x14ac:dyDescent="0.3">
      <c r="A262" s="6" t="s">
        <v>2</v>
      </c>
      <c r="B262" s="6" t="s">
        <v>4</v>
      </c>
      <c r="C262" s="6" t="s">
        <v>3</v>
      </c>
      <c r="D262" s="6" t="s">
        <v>3</v>
      </c>
      <c r="E262" s="6" t="s">
        <v>2</v>
      </c>
      <c r="F262" s="6" t="s">
        <v>2</v>
      </c>
      <c r="G262" s="6" t="s">
        <v>4</v>
      </c>
      <c r="H262" s="6" t="s">
        <v>3</v>
      </c>
      <c r="I262" s="6" t="s">
        <v>2</v>
      </c>
      <c r="J262" s="6" t="s">
        <v>5</v>
      </c>
    </row>
    <row r="263" spans="1:10" x14ac:dyDescent="0.3">
      <c r="A263" s="6" t="s">
        <v>2</v>
      </c>
      <c r="B263" s="6" t="s">
        <v>4</v>
      </c>
      <c r="C263" s="6" t="s">
        <v>3</v>
      </c>
      <c r="D263" s="6" t="s">
        <v>3</v>
      </c>
      <c r="E263" s="6" t="s">
        <v>2</v>
      </c>
      <c r="F263" s="6" t="s">
        <v>3</v>
      </c>
      <c r="G263" s="6" t="s">
        <v>2</v>
      </c>
      <c r="H263" s="6" t="s">
        <v>4</v>
      </c>
      <c r="I263" s="6" t="s">
        <v>2</v>
      </c>
      <c r="J263" s="6" t="s">
        <v>5</v>
      </c>
    </row>
    <row r="264" spans="1:10" x14ac:dyDescent="0.3">
      <c r="A264" s="6" t="s">
        <v>2</v>
      </c>
      <c r="B264" s="6" t="s">
        <v>4</v>
      </c>
      <c r="C264" s="6" t="s">
        <v>3</v>
      </c>
      <c r="D264" s="6" t="s">
        <v>3</v>
      </c>
      <c r="E264" s="6" t="s">
        <v>2</v>
      </c>
      <c r="F264" s="6" t="s">
        <v>3</v>
      </c>
      <c r="G264" s="6" t="s">
        <v>4</v>
      </c>
      <c r="H264" s="6" t="s">
        <v>2</v>
      </c>
      <c r="I264" s="6" t="s">
        <v>2</v>
      </c>
      <c r="J264" s="6" t="s">
        <v>5</v>
      </c>
    </row>
    <row r="265" spans="1:10" x14ac:dyDescent="0.3">
      <c r="A265" s="6" t="s">
        <v>2</v>
      </c>
      <c r="B265" s="6" t="s">
        <v>4</v>
      </c>
      <c r="C265" s="6" t="s">
        <v>3</v>
      </c>
      <c r="D265" s="6" t="s">
        <v>3</v>
      </c>
      <c r="E265" s="6" t="s">
        <v>2</v>
      </c>
      <c r="F265" s="6" t="s">
        <v>4</v>
      </c>
      <c r="G265" s="6" t="s">
        <v>2</v>
      </c>
      <c r="H265" s="6" t="s">
        <v>3</v>
      </c>
      <c r="I265" s="6" t="s">
        <v>2</v>
      </c>
      <c r="J265" s="6" t="s">
        <v>5</v>
      </c>
    </row>
    <row r="266" spans="1:10" x14ac:dyDescent="0.3">
      <c r="A266" s="6" t="s">
        <v>2</v>
      </c>
      <c r="B266" s="6" t="s">
        <v>4</v>
      </c>
      <c r="C266" s="6" t="s">
        <v>3</v>
      </c>
      <c r="D266" s="6" t="s">
        <v>3</v>
      </c>
      <c r="E266" s="6" t="s">
        <v>2</v>
      </c>
      <c r="F266" s="6" t="s">
        <v>4</v>
      </c>
      <c r="G266" s="6" t="s">
        <v>3</v>
      </c>
      <c r="H266" s="6" t="s">
        <v>2</v>
      </c>
      <c r="I266" s="6" t="s">
        <v>2</v>
      </c>
      <c r="J266" s="6" t="s">
        <v>5</v>
      </c>
    </row>
    <row r="267" spans="1:10" x14ac:dyDescent="0.3">
      <c r="A267" s="6" t="s">
        <v>2</v>
      </c>
      <c r="B267" s="6" t="s">
        <v>4</v>
      </c>
      <c r="C267" s="6" t="s">
        <v>3</v>
      </c>
      <c r="D267" s="6" t="s">
        <v>3</v>
      </c>
      <c r="E267" s="6" t="s">
        <v>2</v>
      </c>
      <c r="F267" s="6" t="s">
        <v>4</v>
      </c>
      <c r="G267" s="6" t="s">
        <v>4</v>
      </c>
      <c r="H267" s="6" t="s">
        <v>4</v>
      </c>
      <c r="I267" s="6" t="s">
        <v>2</v>
      </c>
      <c r="J267" s="6" t="s">
        <v>5</v>
      </c>
    </row>
    <row r="268" spans="1:10" x14ac:dyDescent="0.3">
      <c r="A268" s="6" t="s">
        <v>2</v>
      </c>
      <c r="B268" s="6" t="s">
        <v>4</v>
      </c>
      <c r="C268" s="6" t="s">
        <v>3</v>
      </c>
      <c r="D268" s="6" t="s">
        <v>3</v>
      </c>
      <c r="E268" s="6" t="s">
        <v>3</v>
      </c>
      <c r="F268" s="6" t="s">
        <v>4</v>
      </c>
      <c r="G268" s="6" t="s">
        <v>2</v>
      </c>
      <c r="H268" s="6" t="s">
        <v>2</v>
      </c>
      <c r="I268" s="6" t="s">
        <v>2</v>
      </c>
      <c r="J268" s="6" t="s">
        <v>5</v>
      </c>
    </row>
    <row r="269" spans="1:10" x14ac:dyDescent="0.3">
      <c r="A269" s="6" t="s">
        <v>2</v>
      </c>
      <c r="B269" s="6" t="s">
        <v>4</v>
      </c>
      <c r="C269" s="6" t="s">
        <v>3</v>
      </c>
      <c r="D269" s="6" t="s">
        <v>3</v>
      </c>
      <c r="E269" s="6" t="s">
        <v>4</v>
      </c>
      <c r="F269" s="6" t="s">
        <v>3</v>
      </c>
      <c r="G269" s="6" t="s">
        <v>2</v>
      </c>
      <c r="H269" s="6" t="s">
        <v>2</v>
      </c>
      <c r="I269" s="6" t="s">
        <v>2</v>
      </c>
      <c r="J269" s="6" t="s">
        <v>5</v>
      </c>
    </row>
    <row r="270" spans="1:10" x14ac:dyDescent="0.3">
      <c r="A270" s="6" t="s">
        <v>2</v>
      </c>
      <c r="B270" s="6" t="s">
        <v>4</v>
      </c>
      <c r="C270" s="6" t="s">
        <v>3</v>
      </c>
      <c r="D270" s="6" t="s">
        <v>4</v>
      </c>
      <c r="E270" s="6" t="s">
        <v>2</v>
      </c>
      <c r="F270" s="6" t="s">
        <v>2</v>
      </c>
      <c r="G270" s="6" t="s">
        <v>3</v>
      </c>
      <c r="H270" s="6" t="s">
        <v>3</v>
      </c>
      <c r="I270" s="6" t="s">
        <v>2</v>
      </c>
      <c r="J270" s="6" t="s">
        <v>5</v>
      </c>
    </row>
    <row r="271" spans="1:10" x14ac:dyDescent="0.3">
      <c r="A271" s="6" t="s">
        <v>2</v>
      </c>
      <c r="B271" s="6" t="s">
        <v>4</v>
      </c>
      <c r="C271" s="6" t="s">
        <v>3</v>
      </c>
      <c r="D271" s="6" t="s">
        <v>4</v>
      </c>
      <c r="E271" s="6" t="s">
        <v>2</v>
      </c>
      <c r="F271" s="6" t="s">
        <v>3</v>
      </c>
      <c r="G271" s="6" t="s">
        <v>2</v>
      </c>
      <c r="H271" s="6" t="s">
        <v>3</v>
      </c>
      <c r="I271" s="6" t="s">
        <v>2</v>
      </c>
      <c r="J271" s="6" t="s">
        <v>5</v>
      </c>
    </row>
    <row r="272" spans="1:10" x14ac:dyDescent="0.3">
      <c r="A272" s="6" t="s">
        <v>2</v>
      </c>
      <c r="B272" s="6" t="s">
        <v>4</v>
      </c>
      <c r="C272" s="6" t="s">
        <v>3</v>
      </c>
      <c r="D272" s="6" t="s">
        <v>4</v>
      </c>
      <c r="E272" s="6" t="s">
        <v>2</v>
      </c>
      <c r="F272" s="6" t="s">
        <v>3</v>
      </c>
      <c r="G272" s="6" t="s">
        <v>3</v>
      </c>
      <c r="H272" s="6" t="s">
        <v>2</v>
      </c>
      <c r="I272" s="6" t="s">
        <v>2</v>
      </c>
      <c r="J272" s="6" t="s">
        <v>5</v>
      </c>
    </row>
    <row r="273" spans="1:10" x14ac:dyDescent="0.3">
      <c r="A273" s="6" t="s">
        <v>2</v>
      </c>
      <c r="B273" s="6" t="s">
        <v>4</v>
      </c>
      <c r="C273" s="6" t="s">
        <v>3</v>
      </c>
      <c r="D273" s="6" t="s">
        <v>4</v>
      </c>
      <c r="E273" s="6" t="s">
        <v>2</v>
      </c>
      <c r="F273" s="6" t="s">
        <v>3</v>
      </c>
      <c r="G273" s="6" t="s">
        <v>4</v>
      </c>
      <c r="H273" s="6" t="s">
        <v>4</v>
      </c>
      <c r="I273" s="6" t="s">
        <v>2</v>
      </c>
      <c r="J273" s="6" t="s">
        <v>5</v>
      </c>
    </row>
    <row r="274" spans="1:10" x14ac:dyDescent="0.3">
      <c r="A274" s="6" t="s">
        <v>2</v>
      </c>
      <c r="B274" s="6" t="s">
        <v>4</v>
      </c>
      <c r="C274" s="6" t="s">
        <v>3</v>
      </c>
      <c r="D274" s="6" t="s">
        <v>4</v>
      </c>
      <c r="E274" s="6" t="s">
        <v>2</v>
      </c>
      <c r="F274" s="6" t="s">
        <v>4</v>
      </c>
      <c r="G274" s="6" t="s">
        <v>3</v>
      </c>
      <c r="H274" s="6" t="s">
        <v>4</v>
      </c>
      <c r="I274" s="6" t="s">
        <v>2</v>
      </c>
      <c r="J274" s="6" t="s">
        <v>5</v>
      </c>
    </row>
    <row r="275" spans="1:10" x14ac:dyDescent="0.3">
      <c r="A275" s="6" t="s">
        <v>2</v>
      </c>
      <c r="B275" s="6" t="s">
        <v>4</v>
      </c>
      <c r="C275" s="6" t="s">
        <v>3</v>
      </c>
      <c r="D275" s="6" t="s">
        <v>4</v>
      </c>
      <c r="E275" s="6" t="s">
        <v>2</v>
      </c>
      <c r="F275" s="6" t="s">
        <v>4</v>
      </c>
      <c r="G275" s="6" t="s">
        <v>4</v>
      </c>
      <c r="H275" s="6" t="s">
        <v>3</v>
      </c>
      <c r="I275" s="6" t="s">
        <v>2</v>
      </c>
      <c r="J275" s="6" t="s">
        <v>5</v>
      </c>
    </row>
    <row r="276" spans="1:10" x14ac:dyDescent="0.3">
      <c r="A276" s="6" t="s">
        <v>2</v>
      </c>
      <c r="B276" s="6" t="s">
        <v>4</v>
      </c>
      <c r="C276" s="6" t="s">
        <v>3</v>
      </c>
      <c r="D276" s="6" t="s">
        <v>4</v>
      </c>
      <c r="E276" s="6" t="s">
        <v>3</v>
      </c>
      <c r="F276" s="6" t="s">
        <v>3</v>
      </c>
      <c r="G276" s="6" t="s">
        <v>2</v>
      </c>
      <c r="H276" s="6" t="s">
        <v>2</v>
      </c>
      <c r="I276" s="6" t="s">
        <v>2</v>
      </c>
      <c r="J276" s="6" t="s">
        <v>5</v>
      </c>
    </row>
    <row r="277" spans="1:10" x14ac:dyDescent="0.3">
      <c r="A277" s="6" t="s">
        <v>2</v>
      </c>
      <c r="B277" s="6" t="s">
        <v>4</v>
      </c>
      <c r="C277" s="6" t="s">
        <v>4</v>
      </c>
      <c r="D277" s="6" t="s">
        <v>2</v>
      </c>
      <c r="E277" s="6" t="s">
        <v>2</v>
      </c>
      <c r="F277" s="6" t="s">
        <v>3</v>
      </c>
      <c r="G277" s="6" t="s">
        <v>2</v>
      </c>
      <c r="H277" s="6" t="s">
        <v>3</v>
      </c>
      <c r="I277" s="6" t="s">
        <v>3</v>
      </c>
      <c r="J277" s="6" t="s">
        <v>5</v>
      </c>
    </row>
    <row r="278" spans="1:10" x14ac:dyDescent="0.3">
      <c r="A278" s="6" t="s">
        <v>2</v>
      </c>
      <c r="B278" s="6" t="s">
        <v>4</v>
      </c>
      <c r="C278" s="6" t="s">
        <v>4</v>
      </c>
      <c r="D278" s="6" t="s">
        <v>2</v>
      </c>
      <c r="E278" s="6" t="s">
        <v>2</v>
      </c>
      <c r="F278" s="6" t="s">
        <v>3</v>
      </c>
      <c r="G278" s="6" t="s">
        <v>3</v>
      </c>
      <c r="H278" s="6" t="s">
        <v>3</v>
      </c>
      <c r="I278" s="6" t="s">
        <v>2</v>
      </c>
      <c r="J278" s="6" t="s">
        <v>5</v>
      </c>
    </row>
    <row r="279" spans="1:10" x14ac:dyDescent="0.3">
      <c r="A279" s="6" t="s">
        <v>2</v>
      </c>
      <c r="B279" s="6" t="s">
        <v>4</v>
      </c>
      <c r="C279" s="6" t="s">
        <v>4</v>
      </c>
      <c r="D279" s="6" t="s">
        <v>2</v>
      </c>
      <c r="E279" s="6" t="s">
        <v>3</v>
      </c>
      <c r="F279" s="6" t="s">
        <v>2</v>
      </c>
      <c r="G279" s="6" t="s">
        <v>2</v>
      </c>
      <c r="H279" s="6" t="s">
        <v>3</v>
      </c>
      <c r="I279" s="6" t="s">
        <v>3</v>
      </c>
      <c r="J279" s="6" t="s">
        <v>5</v>
      </c>
    </row>
    <row r="280" spans="1:10" x14ac:dyDescent="0.3">
      <c r="A280" s="6" t="s">
        <v>2</v>
      </c>
      <c r="B280" s="6" t="s">
        <v>4</v>
      </c>
      <c r="C280" s="6" t="s">
        <v>4</v>
      </c>
      <c r="D280" s="6" t="s">
        <v>2</v>
      </c>
      <c r="E280" s="6" t="s">
        <v>3</v>
      </c>
      <c r="F280" s="6" t="s">
        <v>3</v>
      </c>
      <c r="G280" s="6" t="s">
        <v>2</v>
      </c>
      <c r="H280" s="6" t="s">
        <v>2</v>
      </c>
      <c r="I280" s="6" t="s">
        <v>3</v>
      </c>
      <c r="J280" s="6" t="s">
        <v>5</v>
      </c>
    </row>
    <row r="281" spans="1:10" x14ac:dyDescent="0.3">
      <c r="A281" s="6" t="s">
        <v>2</v>
      </c>
      <c r="B281" s="6" t="s">
        <v>4</v>
      </c>
      <c r="C281" s="6" t="s">
        <v>4</v>
      </c>
      <c r="D281" s="6" t="s">
        <v>2</v>
      </c>
      <c r="E281" s="6" t="s">
        <v>3</v>
      </c>
      <c r="F281" s="6" t="s">
        <v>3</v>
      </c>
      <c r="G281" s="6" t="s">
        <v>2</v>
      </c>
      <c r="H281" s="6" t="s">
        <v>3</v>
      </c>
      <c r="I281" s="6" t="s">
        <v>2</v>
      </c>
      <c r="J281" s="6" t="s">
        <v>5</v>
      </c>
    </row>
    <row r="282" spans="1:10" x14ac:dyDescent="0.3">
      <c r="A282" s="6" t="s">
        <v>2</v>
      </c>
      <c r="B282" s="6" t="s">
        <v>4</v>
      </c>
      <c r="C282" s="6" t="s">
        <v>4</v>
      </c>
      <c r="D282" s="6" t="s">
        <v>2</v>
      </c>
      <c r="E282" s="6" t="s">
        <v>3</v>
      </c>
      <c r="F282" s="6" t="s">
        <v>3</v>
      </c>
      <c r="G282" s="6" t="s">
        <v>2</v>
      </c>
      <c r="H282" s="6" t="s">
        <v>4</v>
      </c>
      <c r="I282" s="6" t="s">
        <v>4</v>
      </c>
      <c r="J282" s="6" t="s">
        <v>5</v>
      </c>
    </row>
    <row r="283" spans="1:10" x14ac:dyDescent="0.3">
      <c r="A283" s="6" t="s">
        <v>2</v>
      </c>
      <c r="B283" s="6" t="s">
        <v>4</v>
      </c>
      <c r="C283" s="6" t="s">
        <v>4</v>
      </c>
      <c r="D283" s="6" t="s">
        <v>2</v>
      </c>
      <c r="E283" s="6" t="s">
        <v>3</v>
      </c>
      <c r="F283" s="6" t="s">
        <v>4</v>
      </c>
      <c r="G283" s="6" t="s">
        <v>2</v>
      </c>
      <c r="H283" s="6" t="s">
        <v>3</v>
      </c>
      <c r="I283" s="6" t="s">
        <v>4</v>
      </c>
      <c r="J283" s="6" t="s">
        <v>5</v>
      </c>
    </row>
    <row r="284" spans="1:10" x14ac:dyDescent="0.3">
      <c r="A284" s="6" t="s">
        <v>2</v>
      </c>
      <c r="B284" s="6" t="s">
        <v>4</v>
      </c>
      <c r="C284" s="6" t="s">
        <v>4</v>
      </c>
      <c r="D284" s="6" t="s">
        <v>2</v>
      </c>
      <c r="E284" s="6" t="s">
        <v>3</v>
      </c>
      <c r="F284" s="6" t="s">
        <v>4</v>
      </c>
      <c r="G284" s="6" t="s">
        <v>2</v>
      </c>
      <c r="H284" s="6" t="s">
        <v>4</v>
      </c>
      <c r="I284" s="6" t="s">
        <v>3</v>
      </c>
      <c r="J284" s="6" t="s">
        <v>5</v>
      </c>
    </row>
    <row r="285" spans="1:10" x14ac:dyDescent="0.3">
      <c r="A285" s="6" t="s">
        <v>2</v>
      </c>
      <c r="B285" s="6" t="s">
        <v>4</v>
      </c>
      <c r="C285" s="6" t="s">
        <v>4</v>
      </c>
      <c r="D285" s="6" t="s">
        <v>2</v>
      </c>
      <c r="E285" s="6" t="s">
        <v>4</v>
      </c>
      <c r="F285" s="6" t="s">
        <v>3</v>
      </c>
      <c r="G285" s="6" t="s">
        <v>2</v>
      </c>
      <c r="H285" s="6" t="s">
        <v>3</v>
      </c>
      <c r="I285" s="6" t="s">
        <v>4</v>
      </c>
      <c r="J285" s="6" t="s">
        <v>5</v>
      </c>
    </row>
    <row r="286" spans="1:10" x14ac:dyDescent="0.3">
      <c r="A286" s="6" t="s">
        <v>2</v>
      </c>
      <c r="B286" s="6" t="s">
        <v>4</v>
      </c>
      <c r="C286" s="6" t="s">
        <v>4</v>
      </c>
      <c r="D286" s="6" t="s">
        <v>2</v>
      </c>
      <c r="E286" s="6" t="s">
        <v>4</v>
      </c>
      <c r="F286" s="6" t="s">
        <v>3</v>
      </c>
      <c r="G286" s="6" t="s">
        <v>2</v>
      </c>
      <c r="H286" s="6" t="s">
        <v>4</v>
      </c>
      <c r="I286" s="6" t="s">
        <v>3</v>
      </c>
      <c r="J286" s="6" t="s">
        <v>5</v>
      </c>
    </row>
    <row r="287" spans="1:10" x14ac:dyDescent="0.3">
      <c r="A287" s="6" t="s">
        <v>2</v>
      </c>
      <c r="B287" s="6" t="s">
        <v>4</v>
      </c>
      <c r="C287" s="6" t="s">
        <v>4</v>
      </c>
      <c r="D287" s="6" t="s">
        <v>2</v>
      </c>
      <c r="E287" s="6" t="s">
        <v>4</v>
      </c>
      <c r="F287" s="6" t="s">
        <v>4</v>
      </c>
      <c r="G287" s="6" t="s">
        <v>2</v>
      </c>
      <c r="H287" s="6" t="s">
        <v>3</v>
      </c>
      <c r="I287" s="6" t="s">
        <v>3</v>
      </c>
      <c r="J287" s="6" t="s">
        <v>5</v>
      </c>
    </row>
    <row r="288" spans="1:10" x14ac:dyDescent="0.3">
      <c r="A288" s="6" t="s">
        <v>2</v>
      </c>
      <c r="B288" s="6" t="s">
        <v>4</v>
      </c>
      <c r="C288" s="6" t="s">
        <v>4</v>
      </c>
      <c r="D288" s="6" t="s">
        <v>3</v>
      </c>
      <c r="E288" s="6" t="s">
        <v>2</v>
      </c>
      <c r="F288" s="6" t="s">
        <v>2</v>
      </c>
      <c r="G288" s="6" t="s">
        <v>3</v>
      </c>
      <c r="H288" s="6" t="s">
        <v>3</v>
      </c>
      <c r="I288" s="6" t="s">
        <v>2</v>
      </c>
      <c r="J288" s="6" t="s">
        <v>5</v>
      </c>
    </row>
    <row r="289" spans="1:10" x14ac:dyDescent="0.3">
      <c r="A289" s="6" t="s">
        <v>2</v>
      </c>
      <c r="B289" s="6" t="s">
        <v>4</v>
      </c>
      <c r="C289" s="6" t="s">
        <v>4</v>
      </c>
      <c r="D289" s="6" t="s">
        <v>3</v>
      </c>
      <c r="E289" s="6" t="s">
        <v>2</v>
      </c>
      <c r="F289" s="6" t="s">
        <v>3</v>
      </c>
      <c r="G289" s="6" t="s">
        <v>2</v>
      </c>
      <c r="H289" s="6" t="s">
        <v>3</v>
      </c>
      <c r="I289" s="6" t="s">
        <v>2</v>
      </c>
      <c r="J289" s="6" t="s">
        <v>5</v>
      </c>
    </row>
    <row r="290" spans="1:10" x14ac:dyDescent="0.3">
      <c r="A290" s="6" t="s">
        <v>2</v>
      </c>
      <c r="B290" s="6" t="s">
        <v>4</v>
      </c>
      <c r="C290" s="6" t="s">
        <v>4</v>
      </c>
      <c r="D290" s="6" t="s">
        <v>3</v>
      </c>
      <c r="E290" s="6" t="s">
        <v>2</v>
      </c>
      <c r="F290" s="6" t="s">
        <v>3</v>
      </c>
      <c r="G290" s="6" t="s">
        <v>3</v>
      </c>
      <c r="H290" s="6" t="s">
        <v>2</v>
      </c>
      <c r="I290" s="6" t="s">
        <v>2</v>
      </c>
      <c r="J290" s="6" t="s">
        <v>5</v>
      </c>
    </row>
    <row r="291" spans="1:10" x14ac:dyDescent="0.3">
      <c r="A291" s="6" t="s">
        <v>2</v>
      </c>
      <c r="B291" s="6" t="s">
        <v>4</v>
      </c>
      <c r="C291" s="6" t="s">
        <v>4</v>
      </c>
      <c r="D291" s="6" t="s">
        <v>3</v>
      </c>
      <c r="E291" s="6" t="s">
        <v>2</v>
      </c>
      <c r="F291" s="6" t="s">
        <v>3</v>
      </c>
      <c r="G291" s="6" t="s">
        <v>4</v>
      </c>
      <c r="H291" s="6" t="s">
        <v>4</v>
      </c>
      <c r="I291" s="6" t="s">
        <v>2</v>
      </c>
      <c r="J291" s="6" t="s">
        <v>5</v>
      </c>
    </row>
    <row r="292" spans="1:10" x14ac:dyDescent="0.3">
      <c r="A292" s="6" t="s">
        <v>2</v>
      </c>
      <c r="B292" s="6" t="s">
        <v>4</v>
      </c>
      <c r="C292" s="6" t="s">
        <v>4</v>
      </c>
      <c r="D292" s="6" t="s">
        <v>3</v>
      </c>
      <c r="E292" s="6" t="s">
        <v>2</v>
      </c>
      <c r="F292" s="6" t="s">
        <v>4</v>
      </c>
      <c r="G292" s="6" t="s">
        <v>3</v>
      </c>
      <c r="H292" s="6" t="s">
        <v>4</v>
      </c>
      <c r="I292" s="6" t="s">
        <v>2</v>
      </c>
      <c r="J292" s="6" t="s">
        <v>5</v>
      </c>
    </row>
    <row r="293" spans="1:10" x14ac:dyDescent="0.3">
      <c r="A293" s="6" t="s">
        <v>2</v>
      </c>
      <c r="B293" s="6" t="s">
        <v>4</v>
      </c>
      <c r="C293" s="6" t="s">
        <v>4</v>
      </c>
      <c r="D293" s="6" t="s">
        <v>3</v>
      </c>
      <c r="E293" s="6" t="s">
        <v>2</v>
      </c>
      <c r="F293" s="6" t="s">
        <v>4</v>
      </c>
      <c r="G293" s="6" t="s">
        <v>4</v>
      </c>
      <c r="H293" s="6" t="s">
        <v>3</v>
      </c>
      <c r="I293" s="6" t="s">
        <v>2</v>
      </c>
      <c r="J293" s="6" t="s">
        <v>5</v>
      </c>
    </row>
    <row r="294" spans="1:10" x14ac:dyDescent="0.3">
      <c r="A294" s="6" t="s">
        <v>2</v>
      </c>
      <c r="B294" s="6" t="s">
        <v>4</v>
      </c>
      <c r="C294" s="6" t="s">
        <v>4</v>
      </c>
      <c r="D294" s="6" t="s">
        <v>4</v>
      </c>
      <c r="E294" s="6" t="s">
        <v>2</v>
      </c>
      <c r="F294" s="6" t="s">
        <v>3</v>
      </c>
      <c r="G294" s="6" t="s">
        <v>3</v>
      </c>
      <c r="H294" s="6" t="s">
        <v>4</v>
      </c>
      <c r="I294" s="6" t="s">
        <v>2</v>
      </c>
      <c r="J294" s="6" t="s">
        <v>5</v>
      </c>
    </row>
    <row r="295" spans="1:10" x14ac:dyDescent="0.3">
      <c r="A295" s="6" t="s">
        <v>2</v>
      </c>
      <c r="B295" s="6" t="s">
        <v>4</v>
      </c>
      <c r="C295" s="6" t="s">
        <v>4</v>
      </c>
      <c r="D295" s="6" t="s">
        <v>4</v>
      </c>
      <c r="E295" s="6" t="s">
        <v>2</v>
      </c>
      <c r="F295" s="6" t="s">
        <v>3</v>
      </c>
      <c r="G295" s="6" t="s">
        <v>4</v>
      </c>
      <c r="H295" s="6" t="s">
        <v>3</v>
      </c>
      <c r="I295" s="6" t="s">
        <v>2</v>
      </c>
      <c r="J295" s="6" t="s">
        <v>5</v>
      </c>
    </row>
    <row r="296" spans="1:10" x14ac:dyDescent="0.3">
      <c r="A296" s="6" t="s">
        <v>2</v>
      </c>
      <c r="B296" s="6" t="s">
        <v>4</v>
      </c>
      <c r="C296" s="6" t="s">
        <v>4</v>
      </c>
      <c r="D296" s="6" t="s">
        <v>4</v>
      </c>
      <c r="E296" s="6" t="s">
        <v>2</v>
      </c>
      <c r="F296" s="6" t="s">
        <v>4</v>
      </c>
      <c r="G296" s="6" t="s">
        <v>3</v>
      </c>
      <c r="H296" s="6" t="s">
        <v>3</v>
      </c>
      <c r="I296" s="6" t="s">
        <v>2</v>
      </c>
      <c r="J296" s="6" t="s">
        <v>5</v>
      </c>
    </row>
    <row r="297" spans="1:10" x14ac:dyDescent="0.3">
      <c r="A297" s="6" t="s">
        <v>3</v>
      </c>
      <c r="B297" s="6" t="s">
        <v>2</v>
      </c>
      <c r="C297" s="6" t="s">
        <v>2</v>
      </c>
      <c r="D297" s="6" t="s">
        <v>2</v>
      </c>
      <c r="E297" s="6" t="s">
        <v>2</v>
      </c>
      <c r="F297" s="6" t="s">
        <v>3</v>
      </c>
      <c r="G297" s="6" t="s">
        <v>2</v>
      </c>
      <c r="H297" s="6" t="s">
        <v>3</v>
      </c>
      <c r="I297" s="6" t="s">
        <v>3</v>
      </c>
      <c r="J297" s="6" t="s">
        <v>5</v>
      </c>
    </row>
    <row r="298" spans="1:10" x14ac:dyDescent="0.3">
      <c r="A298" s="6" t="s">
        <v>3</v>
      </c>
      <c r="B298" s="6" t="s">
        <v>2</v>
      </c>
      <c r="C298" s="6" t="s">
        <v>2</v>
      </c>
      <c r="D298" s="6" t="s">
        <v>2</v>
      </c>
      <c r="E298" s="6" t="s">
        <v>2</v>
      </c>
      <c r="F298" s="6" t="s">
        <v>3</v>
      </c>
      <c r="G298" s="6" t="s">
        <v>3</v>
      </c>
      <c r="H298" s="6" t="s">
        <v>2</v>
      </c>
      <c r="I298" s="6" t="s">
        <v>3</v>
      </c>
      <c r="J298" s="6" t="s">
        <v>5</v>
      </c>
    </row>
    <row r="299" spans="1:10" x14ac:dyDescent="0.3">
      <c r="A299" s="6" t="s">
        <v>3</v>
      </c>
      <c r="B299" s="6" t="s">
        <v>2</v>
      </c>
      <c r="C299" s="6" t="s">
        <v>2</v>
      </c>
      <c r="D299" s="6" t="s">
        <v>2</v>
      </c>
      <c r="E299" s="6" t="s">
        <v>3</v>
      </c>
      <c r="F299" s="6" t="s">
        <v>2</v>
      </c>
      <c r="G299" s="6" t="s">
        <v>3</v>
      </c>
      <c r="H299" s="6" t="s">
        <v>3</v>
      </c>
      <c r="I299" s="6" t="s">
        <v>2</v>
      </c>
      <c r="J299" s="6" t="s">
        <v>5</v>
      </c>
    </row>
    <row r="300" spans="1:10" x14ac:dyDescent="0.3">
      <c r="A300" s="6" t="s">
        <v>3</v>
      </c>
      <c r="B300" s="6" t="s">
        <v>2</v>
      </c>
      <c r="C300" s="6" t="s">
        <v>2</v>
      </c>
      <c r="D300" s="6" t="s">
        <v>3</v>
      </c>
      <c r="E300" s="6" t="s">
        <v>2</v>
      </c>
      <c r="F300" s="6" t="s">
        <v>2</v>
      </c>
      <c r="G300" s="6" t="s">
        <v>2</v>
      </c>
      <c r="H300" s="6" t="s">
        <v>3</v>
      </c>
      <c r="I300" s="6" t="s">
        <v>3</v>
      </c>
      <c r="J300" s="6" t="s">
        <v>5</v>
      </c>
    </row>
    <row r="301" spans="1:10" x14ac:dyDescent="0.3">
      <c r="A301" s="6" t="s">
        <v>3</v>
      </c>
      <c r="B301" s="6" t="s">
        <v>2</v>
      </c>
      <c r="C301" s="6" t="s">
        <v>2</v>
      </c>
      <c r="D301" s="6" t="s">
        <v>3</v>
      </c>
      <c r="E301" s="6" t="s">
        <v>2</v>
      </c>
      <c r="F301" s="6" t="s">
        <v>3</v>
      </c>
      <c r="G301" s="6" t="s">
        <v>2</v>
      </c>
      <c r="H301" s="6" t="s">
        <v>2</v>
      </c>
      <c r="I301" s="6" t="s">
        <v>3</v>
      </c>
      <c r="J301" s="6" t="s">
        <v>5</v>
      </c>
    </row>
    <row r="302" spans="1:10" x14ac:dyDescent="0.3">
      <c r="A302" s="6" t="s">
        <v>3</v>
      </c>
      <c r="B302" s="6" t="s">
        <v>2</v>
      </c>
      <c r="C302" s="6" t="s">
        <v>2</v>
      </c>
      <c r="D302" s="6" t="s">
        <v>3</v>
      </c>
      <c r="E302" s="6" t="s">
        <v>2</v>
      </c>
      <c r="F302" s="6" t="s">
        <v>3</v>
      </c>
      <c r="G302" s="6" t="s">
        <v>2</v>
      </c>
      <c r="H302" s="6" t="s">
        <v>3</v>
      </c>
      <c r="I302" s="6" t="s">
        <v>2</v>
      </c>
      <c r="J302" s="6" t="s">
        <v>5</v>
      </c>
    </row>
    <row r="303" spans="1:10" x14ac:dyDescent="0.3">
      <c r="A303" s="6" t="s">
        <v>3</v>
      </c>
      <c r="B303" s="6" t="s">
        <v>2</v>
      </c>
      <c r="C303" s="6" t="s">
        <v>2</v>
      </c>
      <c r="D303" s="6" t="s">
        <v>3</v>
      </c>
      <c r="E303" s="6" t="s">
        <v>2</v>
      </c>
      <c r="F303" s="6" t="s">
        <v>3</v>
      </c>
      <c r="G303" s="6" t="s">
        <v>2</v>
      </c>
      <c r="H303" s="6" t="s">
        <v>4</v>
      </c>
      <c r="I303" s="6" t="s">
        <v>4</v>
      </c>
      <c r="J303" s="6" t="s">
        <v>5</v>
      </c>
    </row>
    <row r="304" spans="1:10" x14ac:dyDescent="0.3">
      <c r="A304" s="6" t="s">
        <v>3</v>
      </c>
      <c r="B304" s="6" t="s">
        <v>2</v>
      </c>
      <c r="C304" s="6" t="s">
        <v>2</v>
      </c>
      <c r="D304" s="6" t="s">
        <v>3</v>
      </c>
      <c r="E304" s="6" t="s">
        <v>2</v>
      </c>
      <c r="F304" s="6" t="s">
        <v>3</v>
      </c>
      <c r="G304" s="6" t="s">
        <v>4</v>
      </c>
      <c r="H304" s="6" t="s">
        <v>2</v>
      </c>
      <c r="I304" s="6" t="s">
        <v>4</v>
      </c>
      <c r="J304" s="6" t="s">
        <v>5</v>
      </c>
    </row>
    <row r="305" spans="1:10" x14ac:dyDescent="0.3">
      <c r="A305" s="6" t="s">
        <v>3</v>
      </c>
      <c r="B305" s="6" t="s">
        <v>2</v>
      </c>
      <c r="C305" s="6" t="s">
        <v>2</v>
      </c>
      <c r="D305" s="6" t="s">
        <v>3</v>
      </c>
      <c r="E305" s="6" t="s">
        <v>2</v>
      </c>
      <c r="F305" s="6" t="s">
        <v>4</v>
      </c>
      <c r="G305" s="6" t="s">
        <v>2</v>
      </c>
      <c r="H305" s="6" t="s">
        <v>3</v>
      </c>
      <c r="I305" s="6" t="s">
        <v>4</v>
      </c>
      <c r="J305" s="6" t="s">
        <v>5</v>
      </c>
    </row>
    <row r="306" spans="1:10" x14ac:dyDescent="0.3">
      <c r="A306" s="6" t="s">
        <v>3</v>
      </c>
      <c r="B306" s="6" t="s">
        <v>2</v>
      </c>
      <c r="C306" s="6" t="s">
        <v>2</v>
      </c>
      <c r="D306" s="6" t="s">
        <v>3</v>
      </c>
      <c r="E306" s="6" t="s">
        <v>2</v>
      </c>
      <c r="F306" s="6" t="s">
        <v>4</v>
      </c>
      <c r="G306" s="6" t="s">
        <v>2</v>
      </c>
      <c r="H306" s="6" t="s">
        <v>4</v>
      </c>
      <c r="I306" s="6" t="s">
        <v>3</v>
      </c>
      <c r="J306" s="6" t="s">
        <v>5</v>
      </c>
    </row>
    <row r="307" spans="1:10" x14ac:dyDescent="0.3">
      <c r="A307" s="6" t="s">
        <v>3</v>
      </c>
      <c r="B307" s="6" t="s">
        <v>2</v>
      </c>
      <c r="C307" s="6" t="s">
        <v>2</v>
      </c>
      <c r="D307" s="6" t="s">
        <v>3</v>
      </c>
      <c r="E307" s="6" t="s">
        <v>2</v>
      </c>
      <c r="F307" s="6" t="s">
        <v>4</v>
      </c>
      <c r="G307" s="6" t="s">
        <v>4</v>
      </c>
      <c r="H307" s="6" t="s">
        <v>2</v>
      </c>
      <c r="I307" s="6" t="s">
        <v>3</v>
      </c>
      <c r="J307" s="6" t="s">
        <v>5</v>
      </c>
    </row>
    <row r="308" spans="1:10" x14ac:dyDescent="0.3">
      <c r="A308" s="6" t="s">
        <v>3</v>
      </c>
      <c r="B308" s="6" t="s">
        <v>2</v>
      </c>
      <c r="C308" s="6" t="s">
        <v>2</v>
      </c>
      <c r="D308" s="6" t="s">
        <v>3</v>
      </c>
      <c r="E308" s="6" t="s">
        <v>3</v>
      </c>
      <c r="F308" s="6" t="s">
        <v>2</v>
      </c>
      <c r="G308" s="6" t="s">
        <v>2</v>
      </c>
      <c r="H308" s="6" t="s">
        <v>3</v>
      </c>
      <c r="I308" s="6" t="s">
        <v>2</v>
      </c>
      <c r="J308" s="6" t="s">
        <v>5</v>
      </c>
    </row>
    <row r="309" spans="1:10" x14ac:dyDescent="0.3">
      <c r="A309" s="6" t="s">
        <v>3</v>
      </c>
      <c r="B309" s="6" t="s">
        <v>2</v>
      </c>
      <c r="C309" s="6" t="s">
        <v>2</v>
      </c>
      <c r="D309" s="6" t="s">
        <v>3</v>
      </c>
      <c r="E309" s="6" t="s">
        <v>3</v>
      </c>
      <c r="F309" s="6" t="s">
        <v>2</v>
      </c>
      <c r="G309" s="6" t="s">
        <v>4</v>
      </c>
      <c r="H309" s="6" t="s">
        <v>4</v>
      </c>
      <c r="I309" s="6" t="s">
        <v>2</v>
      </c>
      <c r="J309" s="6" t="s">
        <v>5</v>
      </c>
    </row>
    <row r="310" spans="1:10" x14ac:dyDescent="0.3">
      <c r="A310" s="6" t="s">
        <v>3</v>
      </c>
      <c r="B310" s="6" t="s">
        <v>2</v>
      </c>
      <c r="C310" s="6" t="s">
        <v>2</v>
      </c>
      <c r="D310" s="6" t="s">
        <v>3</v>
      </c>
      <c r="E310" s="6" t="s">
        <v>4</v>
      </c>
      <c r="F310" s="6" t="s">
        <v>2</v>
      </c>
      <c r="G310" s="6" t="s">
        <v>4</v>
      </c>
      <c r="H310" s="6" t="s">
        <v>3</v>
      </c>
      <c r="I310" s="6" t="s">
        <v>2</v>
      </c>
      <c r="J310" s="6" t="s">
        <v>5</v>
      </c>
    </row>
    <row r="311" spans="1:10" x14ac:dyDescent="0.3">
      <c r="A311" s="6" t="s">
        <v>3</v>
      </c>
      <c r="B311" s="6" t="s">
        <v>2</v>
      </c>
      <c r="C311" s="6" t="s">
        <v>2</v>
      </c>
      <c r="D311" s="6" t="s">
        <v>4</v>
      </c>
      <c r="E311" s="6" t="s">
        <v>2</v>
      </c>
      <c r="F311" s="6" t="s">
        <v>3</v>
      </c>
      <c r="G311" s="6" t="s">
        <v>2</v>
      </c>
      <c r="H311" s="6" t="s">
        <v>3</v>
      </c>
      <c r="I311" s="6" t="s">
        <v>4</v>
      </c>
      <c r="J311" s="6" t="s">
        <v>5</v>
      </c>
    </row>
    <row r="312" spans="1:10" x14ac:dyDescent="0.3">
      <c r="A312" s="6" t="s">
        <v>3</v>
      </c>
      <c r="B312" s="6" t="s">
        <v>2</v>
      </c>
      <c r="C312" s="6" t="s">
        <v>2</v>
      </c>
      <c r="D312" s="6" t="s">
        <v>4</v>
      </c>
      <c r="E312" s="6" t="s">
        <v>2</v>
      </c>
      <c r="F312" s="6" t="s">
        <v>3</v>
      </c>
      <c r="G312" s="6" t="s">
        <v>2</v>
      </c>
      <c r="H312" s="6" t="s">
        <v>4</v>
      </c>
      <c r="I312" s="6" t="s">
        <v>3</v>
      </c>
      <c r="J312" s="6" t="s">
        <v>5</v>
      </c>
    </row>
    <row r="313" spans="1:10" x14ac:dyDescent="0.3">
      <c r="A313" s="6" t="s">
        <v>3</v>
      </c>
      <c r="B313" s="6" t="s">
        <v>2</v>
      </c>
      <c r="C313" s="6" t="s">
        <v>2</v>
      </c>
      <c r="D313" s="6" t="s">
        <v>4</v>
      </c>
      <c r="E313" s="6" t="s">
        <v>2</v>
      </c>
      <c r="F313" s="6" t="s">
        <v>3</v>
      </c>
      <c r="G313" s="6" t="s">
        <v>3</v>
      </c>
      <c r="H313" s="6" t="s">
        <v>2</v>
      </c>
      <c r="I313" s="6" t="s">
        <v>4</v>
      </c>
      <c r="J313" s="6" t="s">
        <v>5</v>
      </c>
    </row>
    <row r="314" spans="1:10" x14ac:dyDescent="0.3">
      <c r="A314" s="6" t="s">
        <v>3</v>
      </c>
      <c r="B314" s="6" t="s">
        <v>2</v>
      </c>
      <c r="C314" s="6" t="s">
        <v>2</v>
      </c>
      <c r="D314" s="6" t="s">
        <v>4</v>
      </c>
      <c r="E314" s="6" t="s">
        <v>2</v>
      </c>
      <c r="F314" s="6" t="s">
        <v>3</v>
      </c>
      <c r="G314" s="6" t="s">
        <v>4</v>
      </c>
      <c r="H314" s="6" t="s">
        <v>2</v>
      </c>
      <c r="I314" s="6" t="s">
        <v>3</v>
      </c>
      <c r="J314" s="6" t="s">
        <v>5</v>
      </c>
    </row>
    <row r="315" spans="1:10" x14ac:dyDescent="0.3">
      <c r="A315" s="6" t="s">
        <v>3</v>
      </c>
      <c r="B315" s="6" t="s">
        <v>2</v>
      </c>
      <c r="C315" s="6" t="s">
        <v>2</v>
      </c>
      <c r="D315" s="6" t="s">
        <v>4</v>
      </c>
      <c r="E315" s="6" t="s">
        <v>2</v>
      </c>
      <c r="F315" s="6" t="s">
        <v>4</v>
      </c>
      <c r="G315" s="6" t="s">
        <v>2</v>
      </c>
      <c r="H315" s="6" t="s">
        <v>3</v>
      </c>
      <c r="I315" s="6" t="s">
        <v>3</v>
      </c>
      <c r="J315" s="6" t="s">
        <v>5</v>
      </c>
    </row>
    <row r="316" spans="1:10" x14ac:dyDescent="0.3">
      <c r="A316" s="6" t="s">
        <v>3</v>
      </c>
      <c r="B316" s="6" t="s">
        <v>2</v>
      </c>
      <c r="C316" s="6" t="s">
        <v>2</v>
      </c>
      <c r="D316" s="6" t="s">
        <v>4</v>
      </c>
      <c r="E316" s="6" t="s">
        <v>2</v>
      </c>
      <c r="F316" s="6" t="s">
        <v>4</v>
      </c>
      <c r="G316" s="6" t="s">
        <v>3</v>
      </c>
      <c r="H316" s="6" t="s">
        <v>2</v>
      </c>
      <c r="I316" s="6" t="s">
        <v>3</v>
      </c>
      <c r="J316" s="6" t="s">
        <v>5</v>
      </c>
    </row>
    <row r="317" spans="1:10" x14ac:dyDescent="0.3">
      <c r="A317" s="6" t="s">
        <v>3</v>
      </c>
      <c r="B317" s="6" t="s">
        <v>2</v>
      </c>
      <c r="C317" s="6" t="s">
        <v>2</v>
      </c>
      <c r="D317" s="6" t="s">
        <v>4</v>
      </c>
      <c r="E317" s="6" t="s">
        <v>3</v>
      </c>
      <c r="F317" s="6" t="s">
        <v>2</v>
      </c>
      <c r="G317" s="6" t="s">
        <v>3</v>
      </c>
      <c r="H317" s="6" t="s">
        <v>4</v>
      </c>
      <c r="I317" s="6" t="s">
        <v>2</v>
      </c>
      <c r="J317" s="6" t="s">
        <v>5</v>
      </c>
    </row>
    <row r="318" spans="1:10" x14ac:dyDescent="0.3">
      <c r="A318" s="6" t="s">
        <v>3</v>
      </c>
      <c r="B318" s="6" t="s">
        <v>2</v>
      </c>
      <c r="C318" s="6" t="s">
        <v>2</v>
      </c>
      <c r="D318" s="6" t="s">
        <v>4</v>
      </c>
      <c r="E318" s="6" t="s">
        <v>3</v>
      </c>
      <c r="F318" s="6" t="s">
        <v>2</v>
      </c>
      <c r="G318" s="6" t="s">
        <v>4</v>
      </c>
      <c r="H318" s="6" t="s">
        <v>3</v>
      </c>
      <c r="I318" s="6" t="s">
        <v>2</v>
      </c>
      <c r="J318" s="6" t="s">
        <v>5</v>
      </c>
    </row>
    <row r="319" spans="1:10" x14ac:dyDescent="0.3">
      <c r="A319" s="6" t="s">
        <v>3</v>
      </c>
      <c r="B319" s="6" t="s">
        <v>2</v>
      </c>
      <c r="C319" s="6" t="s">
        <v>2</v>
      </c>
      <c r="D319" s="6" t="s">
        <v>4</v>
      </c>
      <c r="E319" s="6" t="s">
        <v>4</v>
      </c>
      <c r="F319" s="6" t="s">
        <v>2</v>
      </c>
      <c r="G319" s="6" t="s">
        <v>3</v>
      </c>
      <c r="H319" s="6" t="s">
        <v>3</v>
      </c>
      <c r="I319" s="6" t="s">
        <v>2</v>
      </c>
      <c r="J319" s="6" t="s">
        <v>5</v>
      </c>
    </row>
    <row r="320" spans="1:10" x14ac:dyDescent="0.3">
      <c r="A320" s="6" t="s">
        <v>3</v>
      </c>
      <c r="B320" s="6" t="s">
        <v>2</v>
      </c>
      <c r="C320" s="6" t="s">
        <v>3</v>
      </c>
      <c r="D320" s="6" t="s">
        <v>2</v>
      </c>
      <c r="E320" s="6" t="s">
        <v>2</v>
      </c>
      <c r="F320" s="6" t="s">
        <v>2</v>
      </c>
      <c r="G320" s="6" t="s">
        <v>2</v>
      </c>
      <c r="H320" s="6" t="s">
        <v>3</v>
      </c>
      <c r="I320" s="6" t="s">
        <v>3</v>
      </c>
      <c r="J320" s="6" t="s">
        <v>5</v>
      </c>
    </row>
    <row r="321" spans="1:10" x14ac:dyDescent="0.3">
      <c r="A321" s="6" t="s">
        <v>3</v>
      </c>
      <c r="B321" s="6" t="s">
        <v>2</v>
      </c>
      <c r="C321" s="6" t="s">
        <v>3</v>
      </c>
      <c r="D321" s="6" t="s">
        <v>2</v>
      </c>
      <c r="E321" s="6" t="s">
        <v>2</v>
      </c>
      <c r="F321" s="6" t="s">
        <v>2</v>
      </c>
      <c r="G321" s="6" t="s">
        <v>3</v>
      </c>
      <c r="H321" s="6" t="s">
        <v>2</v>
      </c>
      <c r="I321" s="6" t="s">
        <v>3</v>
      </c>
      <c r="J321" s="6" t="s">
        <v>5</v>
      </c>
    </row>
    <row r="322" spans="1:10" x14ac:dyDescent="0.3">
      <c r="A322" s="6" t="s">
        <v>3</v>
      </c>
      <c r="B322" s="6" t="s">
        <v>2</v>
      </c>
      <c r="C322" s="6" t="s">
        <v>3</v>
      </c>
      <c r="D322" s="6" t="s">
        <v>2</v>
      </c>
      <c r="E322" s="6" t="s">
        <v>2</v>
      </c>
      <c r="F322" s="6" t="s">
        <v>2</v>
      </c>
      <c r="G322" s="6" t="s">
        <v>3</v>
      </c>
      <c r="H322" s="6" t="s">
        <v>3</v>
      </c>
      <c r="I322" s="6" t="s">
        <v>2</v>
      </c>
      <c r="J322" s="6" t="s">
        <v>5</v>
      </c>
    </row>
    <row r="323" spans="1:10" x14ac:dyDescent="0.3">
      <c r="A323" s="6" t="s">
        <v>3</v>
      </c>
      <c r="B323" s="6" t="s">
        <v>2</v>
      </c>
      <c r="C323" s="6" t="s">
        <v>3</v>
      </c>
      <c r="D323" s="6" t="s">
        <v>2</v>
      </c>
      <c r="E323" s="6" t="s">
        <v>2</v>
      </c>
      <c r="F323" s="6" t="s">
        <v>2</v>
      </c>
      <c r="G323" s="6" t="s">
        <v>3</v>
      </c>
      <c r="H323" s="6" t="s">
        <v>4</v>
      </c>
      <c r="I323" s="6" t="s">
        <v>4</v>
      </c>
      <c r="J323" s="6" t="s">
        <v>5</v>
      </c>
    </row>
    <row r="324" spans="1:10" x14ac:dyDescent="0.3">
      <c r="A324" s="6" t="s">
        <v>3</v>
      </c>
      <c r="B324" s="6" t="s">
        <v>2</v>
      </c>
      <c r="C324" s="6" t="s">
        <v>3</v>
      </c>
      <c r="D324" s="6" t="s">
        <v>2</v>
      </c>
      <c r="E324" s="6" t="s">
        <v>2</v>
      </c>
      <c r="F324" s="6" t="s">
        <v>2</v>
      </c>
      <c r="G324" s="6" t="s">
        <v>4</v>
      </c>
      <c r="H324" s="6" t="s">
        <v>3</v>
      </c>
      <c r="I324" s="6" t="s">
        <v>4</v>
      </c>
      <c r="J324" s="6" t="s">
        <v>5</v>
      </c>
    </row>
    <row r="325" spans="1:10" x14ac:dyDescent="0.3">
      <c r="A325" s="6" t="s">
        <v>3</v>
      </c>
      <c r="B325" s="6" t="s">
        <v>2</v>
      </c>
      <c r="C325" s="6" t="s">
        <v>3</v>
      </c>
      <c r="D325" s="6" t="s">
        <v>2</v>
      </c>
      <c r="E325" s="6" t="s">
        <v>2</v>
      </c>
      <c r="F325" s="6" t="s">
        <v>2</v>
      </c>
      <c r="G325" s="6" t="s">
        <v>4</v>
      </c>
      <c r="H325" s="6" t="s">
        <v>4</v>
      </c>
      <c r="I325" s="6" t="s">
        <v>3</v>
      </c>
      <c r="J325" s="6" t="s">
        <v>5</v>
      </c>
    </row>
    <row r="326" spans="1:10" x14ac:dyDescent="0.3">
      <c r="A326" s="6" t="s">
        <v>3</v>
      </c>
      <c r="B326" s="6" t="s">
        <v>2</v>
      </c>
      <c r="C326" s="6" t="s">
        <v>3</v>
      </c>
      <c r="D326" s="6" t="s">
        <v>2</v>
      </c>
      <c r="E326" s="6" t="s">
        <v>2</v>
      </c>
      <c r="F326" s="6" t="s">
        <v>3</v>
      </c>
      <c r="G326" s="6" t="s">
        <v>3</v>
      </c>
      <c r="H326" s="6" t="s">
        <v>2</v>
      </c>
      <c r="I326" s="6" t="s">
        <v>2</v>
      </c>
      <c r="J326" s="6" t="s">
        <v>5</v>
      </c>
    </row>
    <row r="327" spans="1:10" x14ac:dyDescent="0.3">
      <c r="A327" s="6" t="s">
        <v>3</v>
      </c>
      <c r="B327" s="6" t="s">
        <v>2</v>
      </c>
      <c r="C327" s="6" t="s">
        <v>3</v>
      </c>
      <c r="D327" s="6" t="s">
        <v>2</v>
      </c>
      <c r="E327" s="6" t="s">
        <v>2</v>
      </c>
      <c r="F327" s="6" t="s">
        <v>3</v>
      </c>
      <c r="G327" s="6" t="s">
        <v>4</v>
      </c>
      <c r="H327" s="6" t="s">
        <v>2</v>
      </c>
      <c r="I327" s="6" t="s">
        <v>4</v>
      </c>
      <c r="J327" s="6" t="s">
        <v>5</v>
      </c>
    </row>
    <row r="328" spans="1:10" x14ac:dyDescent="0.3">
      <c r="A328" s="6" t="s">
        <v>3</v>
      </c>
      <c r="B328" s="6" t="s">
        <v>2</v>
      </c>
      <c r="C328" s="6" t="s">
        <v>3</v>
      </c>
      <c r="D328" s="6" t="s">
        <v>2</v>
      </c>
      <c r="E328" s="6" t="s">
        <v>2</v>
      </c>
      <c r="F328" s="6" t="s">
        <v>4</v>
      </c>
      <c r="G328" s="6" t="s">
        <v>3</v>
      </c>
      <c r="H328" s="6" t="s">
        <v>2</v>
      </c>
      <c r="I328" s="6" t="s">
        <v>4</v>
      </c>
      <c r="J328" s="6" t="s">
        <v>5</v>
      </c>
    </row>
    <row r="329" spans="1:10" x14ac:dyDescent="0.3">
      <c r="A329" s="6" t="s">
        <v>3</v>
      </c>
      <c r="B329" s="6" t="s">
        <v>2</v>
      </c>
      <c r="C329" s="6" t="s">
        <v>3</v>
      </c>
      <c r="D329" s="6" t="s">
        <v>2</v>
      </c>
      <c r="E329" s="6" t="s">
        <v>2</v>
      </c>
      <c r="F329" s="6" t="s">
        <v>4</v>
      </c>
      <c r="G329" s="6" t="s">
        <v>4</v>
      </c>
      <c r="H329" s="6" t="s">
        <v>2</v>
      </c>
      <c r="I329" s="6" t="s">
        <v>3</v>
      </c>
      <c r="J329" s="6" t="s">
        <v>5</v>
      </c>
    </row>
    <row r="330" spans="1:10" x14ac:dyDescent="0.3">
      <c r="A330" s="6" t="s">
        <v>3</v>
      </c>
      <c r="B330" s="6" t="s">
        <v>2</v>
      </c>
      <c r="C330" s="6" t="s">
        <v>3</v>
      </c>
      <c r="D330" s="6" t="s">
        <v>2</v>
      </c>
      <c r="E330" s="6" t="s">
        <v>3</v>
      </c>
      <c r="F330" s="6" t="s">
        <v>3</v>
      </c>
      <c r="G330" s="6" t="s">
        <v>2</v>
      </c>
      <c r="H330" s="6" t="s">
        <v>2</v>
      </c>
      <c r="I330" s="6" t="s">
        <v>2</v>
      </c>
      <c r="J330" s="6" t="s">
        <v>5</v>
      </c>
    </row>
    <row r="331" spans="1:10" x14ac:dyDescent="0.3">
      <c r="A331" s="6" t="s">
        <v>3</v>
      </c>
      <c r="B331" s="6" t="s">
        <v>2</v>
      </c>
      <c r="C331" s="6" t="s">
        <v>3</v>
      </c>
      <c r="D331" s="6" t="s">
        <v>3</v>
      </c>
      <c r="E331" s="6" t="s">
        <v>2</v>
      </c>
      <c r="F331" s="6" t="s">
        <v>2</v>
      </c>
      <c r="G331" s="6" t="s">
        <v>2</v>
      </c>
      <c r="H331" s="6" t="s">
        <v>2</v>
      </c>
      <c r="I331" s="6" t="s">
        <v>3</v>
      </c>
      <c r="J331" s="6" t="s">
        <v>5</v>
      </c>
    </row>
    <row r="332" spans="1:10" x14ac:dyDescent="0.3">
      <c r="A332" s="6" t="s">
        <v>3</v>
      </c>
      <c r="B332" s="6" t="s">
        <v>2</v>
      </c>
      <c r="C332" s="6" t="s">
        <v>3</v>
      </c>
      <c r="D332" s="6" t="s">
        <v>3</v>
      </c>
      <c r="E332" s="6" t="s">
        <v>2</v>
      </c>
      <c r="F332" s="6" t="s">
        <v>2</v>
      </c>
      <c r="G332" s="6" t="s">
        <v>4</v>
      </c>
      <c r="H332" s="6" t="s">
        <v>2</v>
      </c>
      <c r="I332" s="6" t="s">
        <v>4</v>
      </c>
      <c r="J332" s="6" t="s">
        <v>5</v>
      </c>
    </row>
    <row r="333" spans="1:10" x14ac:dyDescent="0.3">
      <c r="A333" s="6" t="s">
        <v>3</v>
      </c>
      <c r="B333" s="6" t="s">
        <v>2</v>
      </c>
      <c r="C333" s="6" t="s">
        <v>3</v>
      </c>
      <c r="D333" s="6" t="s">
        <v>3</v>
      </c>
      <c r="E333" s="6" t="s">
        <v>2</v>
      </c>
      <c r="F333" s="6" t="s">
        <v>3</v>
      </c>
      <c r="G333" s="6" t="s">
        <v>2</v>
      </c>
      <c r="H333" s="6" t="s">
        <v>2</v>
      </c>
      <c r="I333" s="6" t="s">
        <v>2</v>
      </c>
      <c r="J333" s="6" t="s">
        <v>5</v>
      </c>
    </row>
    <row r="334" spans="1:10" x14ac:dyDescent="0.3">
      <c r="A334" s="6" t="s">
        <v>3</v>
      </c>
      <c r="B334" s="6" t="s">
        <v>2</v>
      </c>
      <c r="C334" s="6" t="s">
        <v>3</v>
      </c>
      <c r="D334" s="6" t="s">
        <v>3</v>
      </c>
      <c r="E334" s="6" t="s">
        <v>2</v>
      </c>
      <c r="F334" s="6" t="s">
        <v>4</v>
      </c>
      <c r="G334" s="6" t="s">
        <v>2</v>
      </c>
      <c r="H334" s="6" t="s">
        <v>2</v>
      </c>
      <c r="I334" s="6" t="s">
        <v>4</v>
      </c>
      <c r="J334" s="6" t="s">
        <v>5</v>
      </c>
    </row>
    <row r="335" spans="1:10" x14ac:dyDescent="0.3">
      <c r="A335" s="6" t="s">
        <v>3</v>
      </c>
      <c r="B335" s="6" t="s">
        <v>2</v>
      </c>
      <c r="C335" s="6" t="s">
        <v>3</v>
      </c>
      <c r="D335" s="6" t="s">
        <v>3</v>
      </c>
      <c r="E335" s="6" t="s">
        <v>2</v>
      </c>
      <c r="F335" s="6" t="s">
        <v>4</v>
      </c>
      <c r="G335" s="6" t="s">
        <v>4</v>
      </c>
      <c r="H335" s="6" t="s">
        <v>2</v>
      </c>
      <c r="I335" s="6" t="s">
        <v>2</v>
      </c>
      <c r="J335" s="6" t="s">
        <v>5</v>
      </c>
    </row>
    <row r="336" spans="1:10" x14ac:dyDescent="0.3">
      <c r="A336" s="6" t="s">
        <v>3</v>
      </c>
      <c r="B336" s="6" t="s">
        <v>2</v>
      </c>
      <c r="C336" s="6" t="s">
        <v>3</v>
      </c>
      <c r="D336" s="6" t="s">
        <v>3</v>
      </c>
      <c r="E336" s="6" t="s">
        <v>3</v>
      </c>
      <c r="F336" s="6" t="s">
        <v>2</v>
      </c>
      <c r="G336" s="6" t="s">
        <v>2</v>
      </c>
      <c r="H336" s="6" t="s">
        <v>2</v>
      </c>
      <c r="I336" s="6" t="s">
        <v>2</v>
      </c>
      <c r="J336" s="6" t="s">
        <v>5</v>
      </c>
    </row>
    <row r="337" spans="1:10" x14ac:dyDescent="0.3">
      <c r="A337" s="6" t="s">
        <v>3</v>
      </c>
      <c r="B337" s="6" t="s">
        <v>2</v>
      </c>
      <c r="C337" s="6" t="s">
        <v>3</v>
      </c>
      <c r="D337" s="6" t="s">
        <v>3</v>
      </c>
      <c r="E337" s="6" t="s">
        <v>4</v>
      </c>
      <c r="F337" s="6" t="s">
        <v>4</v>
      </c>
      <c r="G337" s="6" t="s">
        <v>2</v>
      </c>
      <c r="H337" s="6" t="s">
        <v>2</v>
      </c>
      <c r="I337" s="6" t="s">
        <v>2</v>
      </c>
      <c r="J337" s="6" t="s">
        <v>5</v>
      </c>
    </row>
    <row r="338" spans="1:10" x14ac:dyDescent="0.3">
      <c r="A338" s="6" t="s">
        <v>3</v>
      </c>
      <c r="B338" s="6" t="s">
        <v>2</v>
      </c>
      <c r="C338" s="6" t="s">
        <v>3</v>
      </c>
      <c r="D338" s="6" t="s">
        <v>4</v>
      </c>
      <c r="E338" s="6" t="s">
        <v>2</v>
      </c>
      <c r="F338" s="6" t="s">
        <v>2</v>
      </c>
      <c r="G338" s="6" t="s">
        <v>3</v>
      </c>
      <c r="H338" s="6" t="s">
        <v>2</v>
      </c>
      <c r="I338" s="6" t="s">
        <v>4</v>
      </c>
      <c r="J338" s="6" t="s">
        <v>5</v>
      </c>
    </row>
    <row r="339" spans="1:10" x14ac:dyDescent="0.3">
      <c r="A339" s="6" t="s">
        <v>3</v>
      </c>
      <c r="B339" s="6" t="s">
        <v>2</v>
      </c>
      <c r="C339" s="6" t="s">
        <v>3</v>
      </c>
      <c r="D339" s="6" t="s">
        <v>4</v>
      </c>
      <c r="E339" s="6" t="s">
        <v>2</v>
      </c>
      <c r="F339" s="6" t="s">
        <v>2</v>
      </c>
      <c r="G339" s="6" t="s">
        <v>4</v>
      </c>
      <c r="H339" s="6" t="s">
        <v>2</v>
      </c>
      <c r="I339" s="6" t="s">
        <v>3</v>
      </c>
      <c r="J339" s="6" t="s">
        <v>5</v>
      </c>
    </row>
    <row r="340" spans="1:10" x14ac:dyDescent="0.3">
      <c r="A340" s="6" t="s">
        <v>3</v>
      </c>
      <c r="B340" s="6" t="s">
        <v>2</v>
      </c>
      <c r="C340" s="6" t="s">
        <v>3</v>
      </c>
      <c r="D340" s="6" t="s">
        <v>4</v>
      </c>
      <c r="E340" s="6" t="s">
        <v>2</v>
      </c>
      <c r="F340" s="6" t="s">
        <v>3</v>
      </c>
      <c r="G340" s="6" t="s">
        <v>2</v>
      </c>
      <c r="H340" s="6" t="s">
        <v>2</v>
      </c>
      <c r="I340" s="6" t="s">
        <v>4</v>
      </c>
      <c r="J340" s="6" t="s">
        <v>5</v>
      </c>
    </row>
    <row r="341" spans="1:10" x14ac:dyDescent="0.3">
      <c r="A341" s="6" t="s">
        <v>3</v>
      </c>
      <c r="B341" s="6" t="s">
        <v>2</v>
      </c>
      <c r="C341" s="6" t="s">
        <v>3</v>
      </c>
      <c r="D341" s="6" t="s">
        <v>4</v>
      </c>
      <c r="E341" s="6" t="s">
        <v>2</v>
      </c>
      <c r="F341" s="6" t="s">
        <v>3</v>
      </c>
      <c r="G341" s="6" t="s">
        <v>4</v>
      </c>
      <c r="H341" s="6" t="s">
        <v>2</v>
      </c>
      <c r="I341" s="6" t="s">
        <v>2</v>
      </c>
      <c r="J341" s="6" t="s">
        <v>5</v>
      </c>
    </row>
    <row r="342" spans="1:10" x14ac:dyDescent="0.3">
      <c r="A342" s="6" t="s">
        <v>3</v>
      </c>
      <c r="B342" s="6" t="s">
        <v>2</v>
      </c>
      <c r="C342" s="6" t="s">
        <v>3</v>
      </c>
      <c r="D342" s="6" t="s">
        <v>4</v>
      </c>
      <c r="E342" s="6" t="s">
        <v>2</v>
      </c>
      <c r="F342" s="6" t="s">
        <v>4</v>
      </c>
      <c r="G342" s="6" t="s">
        <v>2</v>
      </c>
      <c r="H342" s="6" t="s">
        <v>2</v>
      </c>
      <c r="I342" s="6" t="s">
        <v>3</v>
      </c>
      <c r="J342" s="6" t="s">
        <v>5</v>
      </c>
    </row>
    <row r="343" spans="1:10" x14ac:dyDescent="0.3">
      <c r="A343" s="6" t="s">
        <v>3</v>
      </c>
      <c r="B343" s="6" t="s">
        <v>2</v>
      </c>
      <c r="C343" s="6" t="s">
        <v>3</v>
      </c>
      <c r="D343" s="6" t="s">
        <v>4</v>
      </c>
      <c r="E343" s="6" t="s">
        <v>2</v>
      </c>
      <c r="F343" s="6" t="s">
        <v>4</v>
      </c>
      <c r="G343" s="6" t="s">
        <v>3</v>
      </c>
      <c r="H343" s="6" t="s">
        <v>2</v>
      </c>
      <c r="I343" s="6" t="s">
        <v>2</v>
      </c>
      <c r="J343" s="6" t="s">
        <v>5</v>
      </c>
    </row>
    <row r="344" spans="1:10" x14ac:dyDescent="0.3">
      <c r="A344" s="6" t="s">
        <v>3</v>
      </c>
      <c r="B344" s="6" t="s">
        <v>2</v>
      </c>
      <c r="C344" s="6" t="s">
        <v>3</v>
      </c>
      <c r="D344" s="6" t="s">
        <v>4</v>
      </c>
      <c r="E344" s="6" t="s">
        <v>2</v>
      </c>
      <c r="F344" s="6" t="s">
        <v>4</v>
      </c>
      <c r="G344" s="6" t="s">
        <v>4</v>
      </c>
      <c r="H344" s="6" t="s">
        <v>2</v>
      </c>
      <c r="I344" s="6" t="s">
        <v>4</v>
      </c>
      <c r="J344" s="6" t="s">
        <v>5</v>
      </c>
    </row>
    <row r="345" spans="1:10" x14ac:dyDescent="0.3">
      <c r="A345" s="6" t="s">
        <v>3</v>
      </c>
      <c r="B345" s="6" t="s">
        <v>2</v>
      </c>
      <c r="C345" s="6" t="s">
        <v>3</v>
      </c>
      <c r="D345" s="6" t="s">
        <v>4</v>
      </c>
      <c r="E345" s="6" t="s">
        <v>3</v>
      </c>
      <c r="F345" s="6" t="s">
        <v>4</v>
      </c>
      <c r="G345" s="6" t="s">
        <v>2</v>
      </c>
      <c r="H345" s="6" t="s">
        <v>2</v>
      </c>
      <c r="I345" s="6" t="s">
        <v>2</v>
      </c>
      <c r="J345" s="6" t="s">
        <v>5</v>
      </c>
    </row>
    <row r="346" spans="1:10" x14ac:dyDescent="0.3">
      <c r="A346" s="6" t="s">
        <v>3</v>
      </c>
      <c r="B346" s="6" t="s">
        <v>2</v>
      </c>
      <c r="C346" s="6" t="s">
        <v>3</v>
      </c>
      <c r="D346" s="6" t="s">
        <v>4</v>
      </c>
      <c r="E346" s="6" t="s">
        <v>4</v>
      </c>
      <c r="F346" s="6" t="s">
        <v>3</v>
      </c>
      <c r="G346" s="6" t="s">
        <v>2</v>
      </c>
      <c r="H346" s="6" t="s">
        <v>2</v>
      </c>
      <c r="I346" s="6" t="s">
        <v>2</v>
      </c>
      <c r="J346" s="6" t="s">
        <v>5</v>
      </c>
    </row>
    <row r="347" spans="1:10" x14ac:dyDescent="0.3">
      <c r="A347" s="6" t="s">
        <v>3</v>
      </c>
      <c r="B347" s="6" t="s">
        <v>2</v>
      </c>
      <c r="C347" s="6" t="s">
        <v>4</v>
      </c>
      <c r="D347" s="6" t="s">
        <v>2</v>
      </c>
      <c r="E347" s="6" t="s">
        <v>2</v>
      </c>
      <c r="F347" s="6" t="s">
        <v>2</v>
      </c>
      <c r="G347" s="6" t="s">
        <v>3</v>
      </c>
      <c r="H347" s="6" t="s">
        <v>3</v>
      </c>
      <c r="I347" s="6" t="s">
        <v>4</v>
      </c>
      <c r="J347" s="6" t="s">
        <v>5</v>
      </c>
    </row>
    <row r="348" spans="1:10" x14ac:dyDescent="0.3">
      <c r="A348" s="6" t="s">
        <v>3</v>
      </c>
      <c r="B348" s="6" t="s">
        <v>2</v>
      </c>
      <c r="C348" s="6" t="s">
        <v>4</v>
      </c>
      <c r="D348" s="6" t="s">
        <v>2</v>
      </c>
      <c r="E348" s="6" t="s">
        <v>2</v>
      </c>
      <c r="F348" s="6" t="s">
        <v>2</v>
      </c>
      <c r="G348" s="6" t="s">
        <v>3</v>
      </c>
      <c r="H348" s="6" t="s">
        <v>4</v>
      </c>
      <c r="I348" s="6" t="s">
        <v>3</v>
      </c>
      <c r="J348" s="6" t="s">
        <v>5</v>
      </c>
    </row>
    <row r="349" spans="1:10" x14ac:dyDescent="0.3">
      <c r="A349" s="6" t="s">
        <v>3</v>
      </c>
      <c r="B349" s="6" t="s">
        <v>2</v>
      </c>
      <c r="C349" s="6" t="s">
        <v>4</v>
      </c>
      <c r="D349" s="6" t="s">
        <v>2</v>
      </c>
      <c r="E349" s="6" t="s">
        <v>2</v>
      </c>
      <c r="F349" s="6" t="s">
        <v>2</v>
      </c>
      <c r="G349" s="6" t="s">
        <v>4</v>
      </c>
      <c r="H349" s="6" t="s">
        <v>3</v>
      </c>
      <c r="I349" s="6" t="s">
        <v>3</v>
      </c>
      <c r="J349" s="6" t="s">
        <v>5</v>
      </c>
    </row>
    <row r="350" spans="1:10" x14ac:dyDescent="0.3">
      <c r="A350" s="6" t="s">
        <v>3</v>
      </c>
      <c r="B350" s="6" t="s">
        <v>2</v>
      </c>
      <c r="C350" s="6" t="s">
        <v>4</v>
      </c>
      <c r="D350" s="6" t="s">
        <v>2</v>
      </c>
      <c r="E350" s="6" t="s">
        <v>2</v>
      </c>
      <c r="F350" s="6" t="s">
        <v>3</v>
      </c>
      <c r="G350" s="6" t="s">
        <v>3</v>
      </c>
      <c r="H350" s="6" t="s">
        <v>2</v>
      </c>
      <c r="I350" s="6" t="s">
        <v>4</v>
      </c>
      <c r="J350" s="6" t="s">
        <v>5</v>
      </c>
    </row>
    <row r="351" spans="1:10" x14ac:dyDescent="0.3">
      <c r="A351" s="6" t="s">
        <v>3</v>
      </c>
      <c r="B351" s="6" t="s">
        <v>2</v>
      </c>
      <c r="C351" s="6" t="s">
        <v>4</v>
      </c>
      <c r="D351" s="6" t="s">
        <v>2</v>
      </c>
      <c r="E351" s="6" t="s">
        <v>2</v>
      </c>
      <c r="F351" s="6" t="s">
        <v>3</v>
      </c>
      <c r="G351" s="6" t="s">
        <v>4</v>
      </c>
      <c r="H351" s="6" t="s">
        <v>2</v>
      </c>
      <c r="I351" s="6" t="s">
        <v>3</v>
      </c>
      <c r="J351" s="6" t="s">
        <v>5</v>
      </c>
    </row>
    <row r="352" spans="1:10" x14ac:dyDescent="0.3">
      <c r="A352" s="6" t="s">
        <v>3</v>
      </c>
      <c r="B352" s="6" t="s">
        <v>2</v>
      </c>
      <c r="C352" s="6" t="s">
        <v>4</v>
      </c>
      <c r="D352" s="6" t="s">
        <v>2</v>
      </c>
      <c r="E352" s="6" t="s">
        <v>2</v>
      </c>
      <c r="F352" s="6" t="s">
        <v>4</v>
      </c>
      <c r="G352" s="6" t="s">
        <v>3</v>
      </c>
      <c r="H352" s="6" t="s">
        <v>2</v>
      </c>
      <c r="I352" s="6" t="s">
        <v>3</v>
      </c>
      <c r="J352" s="6" t="s">
        <v>5</v>
      </c>
    </row>
    <row r="353" spans="1:10" x14ac:dyDescent="0.3">
      <c r="A353" s="6" t="s">
        <v>3</v>
      </c>
      <c r="B353" s="6" t="s">
        <v>2</v>
      </c>
      <c r="C353" s="6" t="s">
        <v>4</v>
      </c>
      <c r="D353" s="6" t="s">
        <v>3</v>
      </c>
      <c r="E353" s="6" t="s">
        <v>2</v>
      </c>
      <c r="F353" s="6" t="s">
        <v>2</v>
      </c>
      <c r="G353" s="6" t="s">
        <v>4</v>
      </c>
      <c r="H353" s="6" t="s">
        <v>2</v>
      </c>
      <c r="I353" s="6" t="s">
        <v>3</v>
      </c>
      <c r="J353" s="6" t="s">
        <v>5</v>
      </c>
    </row>
    <row r="354" spans="1:10" x14ac:dyDescent="0.3">
      <c r="A354" s="6" t="s">
        <v>3</v>
      </c>
      <c r="B354" s="6" t="s">
        <v>2</v>
      </c>
      <c r="C354" s="6" t="s">
        <v>4</v>
      </c>
      <c r="D354" s="6" t="s">
        <v>3</v>
      </c>
      <c r="E354" s="6" t="s">
        <v>2</v>
      </c>
      <c r="F354" s="6" t="s">
        <v>3</v>
      </c>
      <c r="G354" s="6" t="s">
        <v>2</v>
      </c>
      <c r="H354" s="6" t="s">
        <v>2</v>
      </c>
      <c r="I354" s="6" t="s">
        <v>4</v>
      </c>
      <c r="J354" s="6" t="s">
        <v>5</v>
      </c>
    </row>
    <row r="355" spans="1:10" x14ac:dyDescent="0.3">
      <c r="A355" s="6" t="s">
        <v>3</v>
      </c>
      <c r="B355" s="6" t="s">
        <v>2</v>
      </c>
      <c r="C355" s="6" t="s">
        <v>4</v>
      </c>
      <c r="D355" s="6" t="s">
        <v>3</v>
      </c>
      <c r="E355" s="6" t="s">
        <v>2</v>
      </c>
      <c r="F355" s="6" t="s">
        <v>3</v>
      </c>
      <c r="G355" s="6" t="s">
        <v>4</v>
      </c>
      <c r="H355" s="6" t="s">
        <v>2</v>
      </c>
      <c r="I355" s="6" t="s">
        <v>2</v>
      </c>
      <c r="J355" s="6" t="s">
        <v>5</v>
      </c>
    </row>
    <row r="356" spans="1:10" x14ac:dyDescent="0.3">
      <c r="A356" s="6" t="s">
        <v>3</v>
      </c>
      <c r="B356" s="6" t="s">
        <v>2</v>
      </c>
      <c r="C356" s="6" t="s">
        <v>4</v>
      </c>
      <c r="D356" s="6" t="s">
        <v>3</v>
      </c>
      <c r="E356" s="6" t="s">
        <v>2</v>
      </c>
      <c r="F356" s="6" t="s">
        <v>4</v>
      </c>
      <c r="G356" s="6" t="s">
        <v>2</v>
      </c>
      <c r="H356" s="6" t="s">
        <v>2</v>
      </c>
      <c r="I356" s="6" t="s">
        <v>3</v>
      </c>
      <c r="J356" s="6" t="s">
        <v>5</v>
      </c>
    </row>
    <row r="357" spans="1:10" x14ac:dyDescent="0.3">
      <c r="A357" s="6" t="s">
        <v>3</v>
      </c>
      <c r="B357" s="6" t="s">
        <v>2</v>
      </c>
      <c r="C357" s="6" t="s">
        <v>4</v>
      </c>
      <c r="D357" s="6" t="s">
        <v>3</v>
      </c>
      <c r="E357" s="6" t="s">
        <v>2</v>
      </c>
      <c r="F357" s="6" t="s">
        <v>4</v>
      </c>
      <c r="G357" s="6" t="s">
        <v>4</v>
      </c>
      <c r="H357" s="6" t="s">
        <v>2</v>
      </c>
      <c r="I357" s="6" t="s">
        <v>4</v>
      </c>
      <c r="J357" s="6" t="s">
        <v>5</v>
      </c>
    </row>
    <row r="358" spans="1:10" x14ac:dyDescent="0.3">
      <c r="A358" s="6" t="s">
        <v>3</v>
      </c>
      <c r="B358" s="6" t="s">
        <v>2</v>
      </c>
      <c r="C358" s="6" t="s">
        <v>4</v>
      </c>
      <c r="D358" s="6" t="s">
        <v>3</v>
      </c>
      <c r="E358" s="6" t="s">
        <v>3</v>
      </c>
      <c r="F358" s="6" t="s">
        <v>4</v>
      </c>
      <c r="G358" s="6" t="s">
        <v>2</v>
      </c>
      <c r="H358" s="6" t="s">
        <v>2</v>
      </c>
      <c r="I358" s="6" t="s">
        <v>2</v>
      </c>
      <c r="J358" s="6" t="s">
        <v>5</v>
      </c>
    </row>
    <row r="359" spans="1:10" x14ac:dyDescent="0.3">
      <c r="A359" s="6" t="s">
        <v>3</v>
      </c>
      <c r="B359" s="6" t="s">
        <v>2</v>
      </c>
      <c r="C359" s="6" t="s">
        <v>4</v>
      </c>
      <c r="D359" s="6" t="s">
        <v>3</v>
      </c>
      <c r="E359" s="6" t="s">
        <v>4</v>
      </c>
      <c r="F359" s="6" t="s">
        <v>3</v>
      </c>
      <c r="G359" s="6" t="s">
        <v>2</v>
      </c>
      <c r="H359" s="6" t="s">
        <v>2</v>
      </c>
      <c r="I359" s="6" t="s">
        <v>2</v>
      </c>
      <c r="J359" s="6" t="s">
        <v>5</v>
      </c>
    </row>
    <row r="360" spans="1:10" x14ac:dyDescent="0.3">
      <c r="A360" s="6" t="s">
        <v>3</v>
      </c>
      <c r="B360" s="6" t="s">
        <v>2</v>
      </c>
      <c r="C360" s="6" t="s">
        <v>4</v>
      </c>
      <c r="D360" s="6" t="s">
        <v>4</v>
      </c>
      <c r="E360" s="6" t="s">
        <v>2</v>
      </c>
      <c r="F360" s="6" t="s">
        <v>2</v>
      </c>
      <c r="G360" s="6" t="s">
        <v>3</v>
      </c>
      <c r="H360" s="6" t="s">
        <v>2</v>
      </c>
      <c r="I360" s="6" t="s">
        <v>3</v>
      </c>
      <c r="J360" s="6" t="s">
        <v>5</v>
      </c>
    </row>
    <row r="361" spans="1:10" x14ac:dyDescent="0.3">
      <c r="A361" s="6" t="s">
        <v>3</v>
      </c>
      <c r="B361" s="6" t="s">
        <v>2</v>
      </c>
      <c r="C361" s="6" t="s">
        <v>4</v>
      </c>
      <c r="D361" s="6" t="s">
        <v>4</v>
      </c>
      <c r="E361" s="6" t="s">
        <v>2</v>
      </c>
      <c r="F361" s="6" t="s">
        <v>3</v>
      </c>
      <c r="G361" s="6" t="s">
        <v>2</v>
      </c>
      <c r="H361" s="6" t="s">
        <v>2</v>
      </c>
      <c r="I361" s="6" t="s">
        <v>3</v>
      </c>
      <c r="J361" s="6" t="s">
        <v>5</v>
      </c>
    </row>
    <row r="362" spans="1:10" x14ac:dyDescent="0.3">
      <c r="A362" s="6" t="s">
        <v>3</v>
      </c>
      <c r="B362" s="6" t="s">
        <v>2</v>
      </c>
      <c r="C362" s="6" t="s">
        <v>4</v>
      </c>
      <c r="D362" s="6" t="s">
        <v>4</v>
      </c>
      <c r="E362" s="6" t="s">
        <v>2</v>
      </c>
      <c r="F362" s="6" t="s">
        <v>3</v>
      </c>
      <c r="G362" s="6" t="s">
        <v>3</v>
      </c>
      <c r="H362" s="6" t="s">
        <v>2</v>
      </c>
      <c r="I362" s="6" t="s">
        <v>2</v>
      </c>
      <c r="J362" s="6" t="s">
        <v>5</v>
      </c>
    </row>
    <row r="363" spans="1:10" x14ac:dyDescent="0.3">
      <c r="A363" s="6" t="s">
        <v>3</v>
      </c>
      <c r="B363" s="6" t="s">
        <v>2</v>
      </c>
      <c r="C363" s="6" t="s">
        <v>4</v>
      </c>
      <c r="D363" s="6" t="s">
        <v>4</v>
      </c>
      <c r="E363" s="6" t="s">
        <v>2</v>
      </c>
      <c r="F363" s="6" t="s">
        <v>3</v>
      </c>
      <c r="G363" s="6" t="s">
        <v>4</v>
      </c>
      <c r="H363" s="6" t="s">
        <v>2</v>
      </c>
      <c r="I363" s="6" t="s">
        <v>4</v>
      </c>
      <c r="J363" s="6" t="s">
        <v>5</v>
      </c>
    </row>
    <row r="364" spans="1:10" x14ac:dyDescent="0.3">
      <c r="A364" s="6" t="s">
        <v>3</v>
      </c>
      <c r="B364" s="6" t="s">
        <v>2</v>
      </c>
      <c r="C364" s="6" t="s">
        <v>4</v>
      </c>
      <c r="D364" s="6" t="s">
        <v>4</v>
      </c>
      <c r="E364" s="6" t="s">
        <v>2</v>
      </c>
      <c r="F364" s="6" t="s">
        <v>4</v>
      </c>
      <c r="G364" s="6" t="s">
        <v>3</v>
      </c>
      <c r="H364" s="6" t="s">
        <v>2</v>
      </c>
      <c r="I364" s="6" t="s">
        <v>4</v>
      </c>
      <c r="J364" s="6" t="s">
        <v>5</v>
      </c>
    </row>
    <row r="365" spans="1:10" x14ac:dyDescent="0.3">
      <c r="A365" s="6" t="s">
        <v>3</v>
      </c>
      <c r="B365" s="6" t="s">
        <v>2</v>
      </c>
      <c r="C365" s="6" t="s">
        <v>4</v>
      </c>
      <c r="D365" s="6" t="s">
        <v>4</v>
      </c>
      <c r="E365" s="6" t="s">
        <v>2</v>
      </c>
      <c r="F365" s="6" t="s">
        <v>4</v>
      </c>
      <c r="G365" s="6" t="s">
        <v>4</v>
      </c>
      <c r="H365" s="6" t="s">
        <v>2</v>
      </c>
      <c r="I365" s="6" t="s">
        <v>3</v>
      </c>
      <c r="J365" s="6" t="s">
        <v>5</v>
      </c>
    </row>
    <row r="366" spans="1:10" x14ac:dyDescent="0.3">
      <c r="A366" s="6" t="s">
        <v>3</v>
      </c>
      <c r="B366" s="6" t="s">
        <v>2</v>
      </c>
      <c r="C366" s="6" t="s">
        <v>4</v>
      </c>
      <c r="D366" s="6" t="s">
        <v>4</v>
      </c>
      <c r="E366" s="6" t="s">
        <v>3</v>
      </c>
      <c r="F366" s="6" t="s">
        <v>3</v>
      </c>
      <c r="G366" s="6" t="s">
        <v>2</v>
      </c>
      <c r="H366" s="6" t="s">
        <v>2</v>
      </c>
      <c r="I366" s="6" t="s">
        <v>2</v>
      </c>
      <c r="J366" s="6" t="s">
        <v>5</v>
      </c>
    </row>
    <row r="367" spans="1:10" x14ac:dyDescent="0.3">
      <c r="A367" s="6" t="s">
        <v>3</v>
      </c>
      <c r="B367" s="6" t="s">
        <v>3</v>
      </c>
      <c r="C367" s="6" t="s">
        <v>2</v>
      </c>
      <c r="D367" s="6" t="s">
        <v>2</v>
      </c>
      <c r="E367" s="6" t="s">
        <v>2</v>
      </c>
      <c r="F367" s="6" t="s">
        <v>2</v>
      </c>
      <c r="G367" s="6" t="s">
        <v>2</v>
      </c>
      <c r="H367" s="6" t="s">
        <v>3</v>
      </c>
      <c r="I367" s="6" t="s">
        <v>3</v>
      </c>
      <c r="J367" s="6" t="s">
        <v>5</v>
      </c>
    </row>
    <row r="368" spans="1:10" x14ac:dyDescent="0.3">
      <c r="A368" s="6" t="s">
        <v>3</v>
      </c>
      <c r="B368" s="6" t="s">
        <v>3</v>
      </c>
      <c r="C368" s="6" t="s">
        <v>2</v>
      </c>
      <c r="D368" s="6" t="s">
        <v>2</v>
      </c>
      <c r="E368" s="6" t="s">
        <v>2</v>
      </c>
      <c r="F368" s="6" t="s">
        <v>2</v>
      </c>
      <c r="G368" s="6" t="s">
        <v>3</v>
      </c>
      <c r="H368" s="6" t="s">
        <v>2</v>
      </c>
      <c r="I368" s="6" t="s">
        <v>3</v>
      </c>
      <c r="J368" s="6" t="s">
        <v>5</v>
      </c>
    </row>
    <row r="369" spans="1:10" x14ac:dyDescent="0.3">
      <c r="A369" s="6" t="s">
        <v>3</v>
      </c>
      <c r="B369" s="6" t="s">
        <v>3</v>
      </c>
      <c r="C369" s="6" t="s">
        <v>2</v>
      </c>
      <c r="D369" s="6" t="s">
        <v>2</v>
      </c>
      <c r="E369" s="6" t="s">
        <v>2</v>
      </c>
      <c r="F369" s="6" t="s">
        <v>2</v>
      </c>
      <c r="G369" s="6" t="s">
        <v>3</v>
      </c>
      <c r="H369" s="6" t="s">
        <v>3</v>
      </c>
      <c r="I369" s="6" t="s">
        <v>2</v>
      </c>
      <c r="J369" s="6" t="s">
        <v>5</v>
      </c>
    </row>
    <row r="370" spans="1:10" x14ac:dyDescent="0.3">
      <c r="A370" s="6" t="s">
        <v>3</v>
      </c>
      <c r="B370" s="6" t="s">
        <v>3</v>
      </c>
      <c r="C370" s="6" t="s">
        <v>2</v>
      </c>
      <c r="D370" s="6" t="s">
        <v>2</v>
      </c>
      <c r="E370" s="6" t="s">
        <v>2</v>
      </c>
      <c r="F370" s="6" t="s">
        <v>2</v>
      </c>
      <c r="G370" s="6" t="s">
        <v>3</v>
      </c>
      <c r="H370" s="6" t="s">
        <v>4</v>
      </c>
      <c r="I370" s="6" t="s">
        <v>4</v>
      </c>
      <c r="J370" s="6" t="s">
        <v>5</v>
      </c>
    </row>
    <row r="371" spans="1:10" x14ac:dyDescent="0.3">
      <c r="A371" s="6" t="s">
        <v>3</v>
      </c>
      <c r="B371" s="6" t="s">
        <v>3</v>
      </c>
      <c r="C371" s="6" t="s">
        <v>2</v>
      </c>
      <c r="D371" s="6" t="s">
        <v>2</v>
      </c>
      <c r="E371" s="6" t="s">
        <v>2</v>
      </c>
      <c r="F371" s="6" t="s">
        <v>2</v>
      </c>
      <c r="G371" s="6" t="s">
        <v>4</v>
      </c>
      <c r="H371" s="6" t="s">
        <v>3</v>
      </c>
      <c r="I371" s="6" t="s">
        <v>4</v>
      </c>
      <c r="J371" s="6" t="s">
        <v>5</v>
      </c>
    </row>
    <row r="372" spans="1:10" x14ac:dyDescent="0.3">
      <c r="A372" s="6" t="s">
        <v>3</v>
      </c>
      <c r="B372" s="6" t="s">
        <v>3</v>
      </c>
      <c r="C372" s="6" t="s">
        <v>2</v>
      </c>
      <c r="D372" s="6" t="s">
        <v>2</v>
      </c>
      <c r="E372" s="6" t="s">
        <v>2</v>
      </c>
      <c r="F372" s="6" t="s">
        <v>2</v>
      </c>
      <c r="G372" s="6" t="s">
        <v>4</v>
      </c>
      <c r="H372" s="6" t="s">
        <v>4</v>
      </c>
      <c r="I372" s="6" t="s">
        <v>3</v>
      </c>
      <c r="J372" s="6" t="s">
        <v>5</v>
      </c>
    </row>
    <row r="373" spans="1:10" x14ac:dyDescent="0.3">
      <c r="A373" s="6" t="s">
        <v>3</v>
      </c>
      <c r="B373" s="6" t="s">
        <v>3</v>
      </c>
      <c r="C373" s="6" t="s">
        <v>2</v>
      </c>
      <c r="D373" s="6" t="s">
        <v>2</v>
      </c>
      <c r="E373" s="6" t="s">
        <v>2</v>
      </c>
      <c r="F373" s="6" t="s">
        <v>3</v>
      </c>
      <c r="G373" s="6" t="s">
        <v>2</v>
      </c>
      <c r="H373" s="6" t="s">
        <v>2</v>
      </c>
      <c r="I373" s="6" t="s">
        <v>3</v>
      </c>
      <c r="J373" s="6" t="s">
        <v>5</v>
      </c>
    </row>
    <row r="374" spans="1:10" x14ac:dyDescent="0.3">
      <c r="A374" s="6" t="s">
        <v>3</v>
      </c>
      <c r="B374" s="6" t="s">
        <v>3</v>
      </c>
      <c r="C374" s="6" t="s">
        <v>2</v>
      </c>
      <c r="D374" s="6" t="s">
        <v>2</v>
      </c>
      <c r="E374" s="6" t="s">
        <v>2</v>
      </c>
      <c r="F374" s="6" t="s">
        <v>3</v>
      </c>
      <c r="G374" s="6" t="s">
        <v>2</v>
      </c>
      <c r="H374" s="6" t="s">
        <v>3</v>
      </c>
      <c r="I374" s="6" t="s">
        <v>2</v>
      </c>
      <c r="J374" s="6" t="s">
        <v>5</v>
      </c>
    </row>
    <row r="375" spans="1:10" x14ac:dyDescent="0.3">
      <c r="A375" s="6" t="s">
        <v>3</v>
      </c>
      <c r="B375" s="6" t="s">
        <v>3</v>
      </c>
      <c r="C375" s="6" t="s">
        <v>2</v>
      </c>
      <c r="D375" s="6" t="s">
        <v>2</v>
      </c>
      <c r="E375" s="6" t="s">
        <v>2</v>
      </c>
      <c r="F375" s="6" t="s">
        <v>3</v>
      </c>
      <c r="G375" s="6" t="s">
        <v>2</v>
      </c>
      <c r="H375" s="6" t="s">
        <v>4</v>
      </c>
      <c r="I375" s="6" t="s">
        <v>4</v>
      </c>
      <c r="J375" s="6" t="s">
        <v>5</v>
      </c>
    </row>
    <row r="376" spans="1:10" x14ac:dyDescent="0.3">
      <c r="A376" s="6" t="s">
        <v>3</v>
      </c>
      <c r="B376" s="6" t="s">
        <v>3</v>
      </c>
      <c r="C376" s="6" t="s">
        <v>2</v>
      </c>
      <c r="D376" s="6" t="s">
        <v>2</v>
      </c>
      <c r="E376" s="6" t="s">
        <v>2</v>
      </c>
      <c r="F376" s="6" t="s">
        <v>4</v>
      </c>
      <c r="G376" s="6" t="s">
        <v>2</v>
      </c>
      <c r="H376" s="6" t="s">
        <v>3</v>
      </c>
      <c r="I376" s="6" t="s">
        <v>4</v>
      </c>
      <c r="J376" s="6" t="s">
        <v>5</v>
      </c>
    </row>
    <row r="377" spans="1:10" x14ac:dyDescent="0.3">
      <c r="A377" s="6" t="s">
        <v>3</v>
      </c>
      <c r="B377" s="6" t="s">
        <v>3</v>
      </c>
      <c r="C377" s="6" t="s">
        <v>2</v>
      </c>
      <c r="D377" s="6" t="s">
        <v>2</v>
      </c>
      <c r="E377" s="6" t="s">
        <v>2</v>
      </c>
      <c r="F377" s="6" t="s">
        <v>4</v>
      </c>
      <c r="G377" s="6" t="s">
        <v>2</v>
      </c>
      <c r="H377" s="6" t="s">
        <v>4</v>
      </c>
      <c r="I377" s="6" t="s">
        <v>3</v>
      </c>
      <c r="J377" s="6" t="s">
        <v>5</v>
      </c>
    </row>
    <row r="378" spans="1:10" x14ac:dyDescent="0.3">
      <c r="A378" s="6" t="s">
        <v>3</v>
      </c>
      <c r="B378" s="6" t="s">
        <v>3</v>
      </c>
      <c r="C378" s="6" t="s">
        <v>2</v>
      </c>
      <c r="D378" s="6" t="s">
        <v>2</v>
      </c>
      <c r="E378" s="6" t="s">
        <v>3</v>
      </c>
      <c r="F378" s="6" t="s">
        <v>2</v>
      </c>
      <c r="G378" s="6" t="s">
        <v>3</v>
      </c>
      <c r="H378" s="6" t="s">
        <v>2</v>
      </c>
      <c r="I378" s="6" t="s">
        <v>2</v>
      </c>
      <c r="J378" s="6" t="s">
        <v>5</v>
      </c>
    </row>
    <row r="379" spans="1:10" x14ac:dyDescent="0.3">
      <c r="A379" s="6" t="s">
        <v>3</v>
      </c>
      <c r="B379" s="6" t="s">
        <v>3</v>
      </c>
      <c r="C379" s="6" t="s">
        <v>2</v>
      </c>
      <c r="D379" s="6" t="s">
        <v>2</v>
      </c>
      <c r="E379" s="6" t="s">
        <v>3</v>
      </c>
      <c r="F379" s="6" t="s">
        <v>2</v>
      </c>
      <c r="G379" s="6" t="s">
        <v>4</v>
      </c>
      <c r="H379" s="6" t="s">
        <v>4</v>
      </c>
      <c r="I379" s="6" t="s">
        <v>2</v>
      </c>
      <c r="J379" s="6" t="s">
        <v>5</v>
      </c>
    </row>
    <row r="380" spans="1:10" x14ac:dyDescent="0.3">
      <c r="A380" s="6" t="s">
        <v>3</v>
      </c>
      <c r="B380" s="6" t="s">
        <v>3</v>
      </c>
      <c r="C380" s="6" t="s">
        <v>2</v>
      </c>
      <c r="D380" s="6" t="s">
        <v>2</v>
      </c>
      <c r="E380" s="6" t="s">
        <v>3</v>
      </c>
      <c r="F380" s="6" t="s">
        <v>3</v>
      </c>
      <c r="G380" s="6" t="s">
        <v>2</v>
      </c>
      <c r="H380" s="6" t="s">
        <v>2</v>
      </c>
      <c r="I380" s="6" t="s">
        <v>2</v>
      </c>
      <c r="J380" s="6" t="s">
        <v>5</v>
      </c>
    </row>
    <row r="381" spans="1:10" x14ac:dyDescent="0.3">
      <c r="A381" s="6" t="s">
        <v>3</v>
      </c>
      <c r="B381" s="6" t="s">
        <v>3</v>
      </c>
      <c r="C381" s="6" t="s">
        <v>2</v>
      </c>
      <c r="D381" s="6" t="s">
        <v>2</v>
      </c>
      <c r="E381" s="6" t="s">
        <v>4</v>
      </c>
      <c r="F381" s="6" t="s">
        <v>2</v>
      </c>
      <c r="G381" s="6" t="s">
        <v>3</v>
      </c>
      <c r="H381" s="6" t="s">
        <v>4</v>
      </c>
      <c r="I381" s="6" t="s">
        <v>2</v>
      </c>
      <c r="J381" s="6" t="s">
        <v>5</v>
      </c>
    </row>
    <row r="382" spans="1:10" x14ac:dyDescent="0.3">
      <c r="A382" s="6" t="s">
        <v>3</v>
      </c>
      <c r="B382" s="6" t="s">
        <v>3</v>
      </c>
      <c r="C382" s="6" t="s">
        <v>2</v>
      </c>
      <c r="D382" s="6" t="s">
        <v>2</v>
      </c>
      <c r="E382" s="6" t="s">
        <v>4</v>
      </c>
      <c r="F382" s="6" t="s">
        <v>2</v>
      </c>
      <c r="G382" s="6" t="s">
        <v>4</v>
      </c>
      <c r="H382" s="6" t="s">
        <v>3</v>
      </c>
      <c r="I382" s="6" t="s">
        <v>2</v>
      </c>
      <c r="J382" s="6" t="s">
        <v>5</v>
      </c>
    </row>
    <row r="383" spans="1:10" x14ac:dyDescent="0.3">
      <c r="A383" s="6" t="s">
        <v>3</v>
      </c>
      <c r="B383" s="6" t="s">
        <v>3</v>
      </c>
      <c r="C383" s="6" t="s">
        <v>2</v>
      </c>
      <c r="D383" s="6" t="s">
        <v>3</v>
      </c>
      <c r="E383" s="6" t="s">
        <v>2</v>
      </c>
      <c r="F383" s="6" t="s">
        <v>2</v>
      </c>
      <c r="G383" s="6" t="s">
        <v>2</v>
      </c>
      <c r="H383" s="6" t="s">
        <v>2</v>
      </c>
      <c r="I383" s="6" t="s">
        <v>3</v>
      </c>
      <c r="J383" s="6" t="s">
        <v>5</v>
      </c>
    </row>
    <row r="384" spans="1:10" x14ac:dyDescent="0.3">
      <c r="A384" s="6" t="s">
        <v>3</v>
      </c>
      <c r="B384" s="6" t="s">
        <v>3</v>
      </c>
      <c r="C384" s="6" t="s">
        <v>2</v>
      </c>
      <c r="D384" s="6" t="s">
        <v>3</v>
      </c>
      <c r="E384" s="6" t="s">
        <v>2</v>
      </c>
      <c r="F384" s="6" t="s">
        <v>2</v>
      </c>
      <c r="G384" s="6" t="s">
        <v>2</v>
      </c>
      <c r="H384" s="6" t="s">
        <v>3</v>
      </c>
      <c r="I384" s="6" t="s">
        <v>2</v>
      </c>
      <c r="J384" s="6" t="s">
        <v>5</v>
      </c>
    </row>
    <row r="385" spans="1:10" x14ac:dyDescent="0.3">
      <c r="A385" s="6" t="s">
        <v>3</v>
      </c>
      <c r="B385" s="6" t="s">
        <v>3</v>
      </c>
      <c r="C385" s="6" t="s">
        <v>2</v>
      </c>
      <c r="D385" s="6" t="s">
        <v>3</v>
      </c>
      <c r="E385" s="6" t="s">
        <v>2</v>
      </c>
      <c r="F385" s="6" t="s">
        <v>2</v>
      </c>
      <c r="G385" s="6" t="s">
        <v>2</v>
      </c>
      <c r="H385" s="6" t="s">
        <v>4</v>
      </c>
      <c r="I385" s="6" t="s">
        <v>4</v>
      </c>
      <c r="J385" s="6" t="s">
        <v>5</v>
      </c>
    </row>
    <row r="386" spans="1:10" x14ac:dyDescent="0.3">
      <c r="A386" s="6" t="s">
        <v>3</v>
      </c>
      <c r="B386" s="6" t="s">
        <v>3</v>
      </c>
      <c r="C386" s="6" t="s">
        <v>2</v>
      </c>
      <c r="D386" s="6" t="s">
        <v>3</v>
      </c>
      <c r="E386" s="6" t="s">
        <v>2</v>
      </c>
      <c r="F386" s="6" t="s">
        <v>2</v>
      </c>
      <c r="G386" s="6" t="s">
        <v>4</v>
      </c>
      <c r="H386" s="6" t="s">
        <v>4</v>
      </c>
      <c r="I386" s="6" t="s">
        <v>2</v>
      </c>
      <c r="J386" s="6" t="s">
        <v>5</v>
      </c>
    </row>
    <row r="387" spans="1:10" x14ac:dyDescent="0.3">
      <c r="A387" s="6" t="s">
        <v>3</v>
      </c>
      <c r="B387" s="6" t="s">
        <v>3</v>
      </c>
      <c r="C387" s="6" t="s">
        <v>2</v>
      </c>
      <c r="D387" s="6" t="s">
        <v>3</v>
      </c>
      <c r="E387" s="6" t="s">
        <v>2</v>
      </c>
      <c r="F387" s="6" t="s">
        <v>3</v>
      </c>
      <c r="G387" s="6" t="s">
        <v>2</v>
      </c>
      <c r="H387" s="6" t="s">
        <v>2</v>
      </c>
      <c r="I387" s="6" t="s">
        <v>2</v>
      </c>
      <c r="J387" s="6" t="s">
        <v>5</v>
      </c>
    </row>
    <row r="388" spans="1:10" x14ac:dyDescent="0.3">
      <c r="A388" s="6" t="s">
        <v>3</v>
      </c>
      <c r="B388" s="6" t="s">
        <v>3</v>
      </c>
      <c r="C388" s="6" t="s">
        <v>2</v>
      </c>
      <c r="D388" s="6" t="s">
        <v>3</v>
      </c>
      <c r="E388" s="6" t="s">
        <v>2</v>
      </c>
      <c r="F388" s="6" t="s">
        <v>4</v>
      </c>
      <c r="G388" s="6" t="s">
        <v>2</v>
      </c>
      <c r="H388" s="6" t="s">
        <v>2</v>
      </c>
      <c r="I388" s="6" t="s">
        <v>4</v>
      </c>
      <c r="J388" s="6" t="s">
        <v>5</v>
      </c>
    </row>
    <row r="389" spans="1:10" x14ac:dyDescent="0.3">
      <c r="A389" s="6" t="s">
        <v>3</v>
      </c>
      <c r="B389" s="6" t="s">
        <v>3</v>
      </c>
      <c r="C389" s="6" t="s">
        <v>2</v>
      </c>
      <c r="D389" s="6" t="s">
        <v>3</v>
      </c>
      <c r="E389" s="6" t="s">
        <v>2</v>
      </c>
      <c r="F389" s="6" t="s">
        <v>4</v>
      </c>
      <c r="G389" s="6" t="s">
        <v>2</v>
      </c>
      <c r="H389" s="6" t="s">
        <v>4</v>
      </c>
      <c r="I389" s="6" t="s">
        <v>2</v>
      </c>
      <c r="J389" s="6" t="s">
        <v>5</v>
      </c>
    </row>
    <row r="390" spans="1:10" x14ac:dyDescent="0.3">
      <c r="A390" s="6" t="s">
        <v>3</v>
      </c>
      <c r="B390" s="6" t="s">
        <v>3</v>
      </c>
      <c r="C390" s="6" t="s">
        <v>2</v>
      </c>
      <c r="D390" s="6" t="s">
        <v>3</v>
      </c>
      <c r="E390" s="6" t="s">
        <v>3</v>
      </c>
      <c r="F390" s="6" t="s">
        <v>2</v>
      </c>
      <c r="G390" s="6" t="s">
        <v>2</v>
      </c>
      <c r="H390" s="6" t="s">
        <v>2</v>
      </c>
      <c r="I390" s="6" t="s">
        <v>2</v>
      </c>
      <c r="J390" s="6" t="s">
        <v>5</v>
      </c>
    </row>
    <row r="391" spans="1:10" x14ac:dyDescent="0.3">
      <c r="A391" s="6" t="s">
        <v>3</v>
      </c>
      <c r="B391" s="6" t="s">
        <v>3</v>
      </c>
      <c r="C391" s="6" t="s">
        <v>2</v>
      </c>
      <c r="D391" s="6" t="s">
        <v>3</v>
      </c>
      <c r="E391" s="6" t="s">
        <v>4</v>
      </c>
      <c r="F391" s="6" t="s">
        <v>2</v>
      </c>
      <c r="G391" s="6" t="s">
        <v>2</v>
      </c>
      <c r="H391" s="6" t="s">
        <v>4</v>
      </c>
      <c r="I391" s="6" t="s">
        <v>2</v>
      </c>
      <c r="J391" s="6" t="s">
        <v>5</v>
      </c>
    </row>
    <row r="392" spans="1:10" x14ac:dyDescent="0.3">
      <c r="A392" s="6" t="s">
        <v>3</v>
      </c>
      <c r="B392" s="6" t="s">
        <v>3</v>
      </c>
      <c r="C392" s="6" t="s">
        <v>2</v>
      </c>
      <c r="D392" s="6" t="s">
        <v>3</v>
      </c>
      <c r="E392" s="6" t="s">
        <v>4</v>
      </c>
      <c r="F392" s="6" t="s">
        <v>2</v>
      </c>
      <c r="G392" s="6" t="s">
        <v>4</v>
      </c>
      <c r="H392" s="6" t="s">
        <v>2</v>
      </c>
      <c r="I392" s="6" t="s">
        <v>2</v>
      </c>
      <c r="J392" s="6" t="s">
        <v>5</v>
      </c>
    </row>
    <row r="393" spans="1:10" x14ac:dyDescent="0.3">
      <c r="A393" s="6" t="s">
        <v>3</v>
      </c>
      <c r="B393" s="6" t="s">
        <v>3</v>
      </c>
      <c r="C393" s="6" t="s">
        <v>2</v>
      </c>
      <c r="D393" s="6" t="s">
        <v>3</v>
      </c>
      <c r="E393" s="6" t="s">
        <v>4</v>
      </c>
      <c r="F393" s="6" t="s">
        <v>4</v>
      </c>
      <c r="G393" s="6" t="s">
        <v>2</v>
      </c>
      <c r="H393" s="6" t="s">
        <v>2</v>
      </c>
      <c r="I393" s="6" t="s">
        <v>2</v>
      </c>
      <c r="J393" s="6" t="s">
        <v>5</v>
      </c>
    </row>
    <row r="394" spans="1:10" x14ac:dyDescent="0.3">
      <c r="A394" s="6" t="s">
        <v>3</v>
      </c>
      <c r="B394" s="6" t="s">
        <v>3</v>
      </c>
      <c r="C394" s="6" t="s">
        <v>2</v>
      </c>
      <c r="D394" s="6" t="s">
        <v>4</v>
      </c>
      <c r="E394" s="6" t="s">
        <v>2</v>
      </c>
      <c r="F394" s="6" t="s">
        <v>2</v>
      </c>
      <c r="G394" s="6" t="s">
        <v>2</v>
      </c>
      <c r="H394" s="6" t="s">
        <v>3</v>
      </c>
      <c r="I394" s="6" t="s">
        <v>4</v>
      </c>
      <c r="J394" s="6" t="s">
        <v>5</v>
      </c>
    </row>
    <row r="395" spans="1:10" x14ac:dyDescent="0.3">
      <c r="A395" s="6" t="s">
        <v>3</v>
      </c>
      <c r="B395" s="6" t="s">
        <v>3</v>
      </c>
      <c r="C395" s="6" t="s">
        <v>2</v>
      </c>
      <c r="D395" s="6" t="s">
        <v>4</v>
      </c>
      <c r="E395" s="6" t="s">
        <v>2</v>
      </c>
      <c r="F395" s="6" t="s">
        <v>2</v>
      </c>
      <c r="G395" s="6" t="s">
        <v>2</v>
      </c>
      <c r="H395" s="6" t="s">
        <v>4</v>
      </c>
      <c r="I395" s="6" t="s">
        <v>3</v>
      </c>
      <c r="J395" s="6" t="s">
        <v>5</v>
      </c>
    </row>
    <row r="396" spans="1:10" x14ac:dyDescent="0.3">
      <c r="A396" s="6" t="s">
        <v>3</v>
      </c>
      <c r="B396" s="6" t="s">
        <v>3</v>
      </c>
      <c r="C396" s="6" t="s">
        <v>2</v>
      </c>
      <c r="D396" s="6" t="s">
        <v>4</v>
      </c>
      <c r="E396" s="6" t="s">
        <v>2</v>
      </c>
      <c r="F396" s="6" t="s">
        <v>2</v>
      </c>
      <c r="G396" s="6" t="s">
        <v>3</v>
      </c>
      <c r="H396" s="6" t="s">
        <v>4</v>
      </c>
      <c r="I396" s="6" t="s">
        <v>2</v>
      </c>
      <c r="J396" s="6" t="s">
        <v>5</v>
      </c>
    </row>
    <row r="397" spans="1:10" x14ac:dyDescent="0.3">
      <c r="A397" s="6" t="s">
        <v>3</v>
      </c>
      <c r="B397" s="6" t="s">
        <v>3</v>
      </c>
      <c r="C397" s="6" t="s">
        <v>2</v>
      </c>
      <c r="D397" s="6" t="s">
        <v>4</v>
      </c>
      <c r="E397" s="6" t="s">
        <v>2</v>
      </c>
      <c r="F397" s="6" t="s">
        <v>2</v>
      </c>
      <c r="G397" s="6" t="s">
        <v>4</v>
      </c>
      <c r="H397" s="6" t="s">
        <v>3</v>
      </c>
      <c r="I397" s="6" t="s">
        <v>2</v>
      </c>
      <c r="J397" s="6" t="s">
        <v>5</v>
      </c>
    </row>
    <row r="398" spans="1:10" x14ac:dyDescent="0.3">
      <c r="A398" s="6" t="s">
        <v>3</v>
      </c>
      <c r="B398" s="6" t="s">
        <v>3</v>
      </c>
      <c r="C398" s="6" t="s">
        <v>2</v>
      </c>
      <c r="D398" s="6" t="s">
        <v>4</v>
      </c>
      <c r="E398" s="6" t="s">
        <v>2</v>
      </c>
      <c r="F398" s="6" t="s">
        <v>3</v>
      </c>
      <c r="G398" s="6" t="s">
        <v>2</v>
      </c>
      <c r="H398" s="6" t="s">
        <v>2</v>
      </c>
      <c r="I398" s="6" t="s">
        <v>4</v>
      </c>
      <c r="J398" s="6" t="s">
        <v>5</v>
      </c>
    </row>
    <row r="399" spans="1:10" x14ac:dyDescent="0.3">
      <c r="A399" s="6" t="s">
        <v>3</v>
      </c>
      <c r="B399" s="6" t="s">
        <v>3</v>
      </c>
      <c r="C399" s="6" t="s">
        <v>2</v>
      </c>
      <c r="D399" s="6" t="s">
        <v>4</v>
      </c>
      <c r="E399" s="6" t="s">
        <v>2</v>
      </c>
      <c r="F399" s="6" t="s">
        <v>3</v>
      </c>
      <c r="G399" s="6" t="s">
        <v>2</v>
      </c>
      <c r="H399" s="6" t="s">
        <v>4</v>
      </c>
      <c r="I399" s="6" t="s">
        <v>2</v>
      </c>
      <c r="J399" s="6" t="s">
        <v>5</v>
      </c>
    </row>
    <row r="400" spans="1:10" x14ac:dyDescent="0.3">
      <c r="A400" s="6" t="s">
        <v>3</v>
      </c>
      <c r="B400" s="6" t="s">
        <v>3</v>
      </c>
      <c r="C400" s="6" t="s">
        <v>2</v>
      </c>
      <c r="D400" s="6" t="s">
        <v>4</v>
      </c>
      <c r="E400" s="6" t="s">
        <v>2</v>
      </c>
      <c r="F400" s="6" t="s">
        <v>4</v>
      </c>
      <c r="G400" s="6" t="s">
        <v>2</v>
      </c>
      <c r="H400" s="6" t="s">
        <v>2</v>
      </c>
      <c r="I400" s="6" t="s">
        <v>3</v>
      </c>
      <c r="J400" s="6" t="s">
        <v>5</v>
      </c>
    </row>
    <row r="401" spans="1:10" x14ac:dyDescent="0.3">
      <c r="A401" s="6" t="s">
        <v>3</v>
      </c>
      <c r="B401" s="6" t="s">
        <v>3</v>
      </c>
      <c r="C401" s="6" t="s">
        <v>2</v>
      </c>
      <c r="D401" s="6" t="s">
        <v>4</v>
      </c>
      <c r="E401" s="6" t="s">
        <v>2</v>
      </c>
      <c r="F401" s="6" t="s">
        <v>4</v>
      </c>
      <c r="G401" s="6" t="s">
        <v>2</v>
      </c>
      <c r="H401" s="6" t="s">
        <v>3</v>
      </c>
      <c r="I401" s="6" t="s">
        <v>2</v>
      </c>
      <c r="J401" s="6" t="s">
        <v>5</v>
      </c>
    </row>
    <row r="402" spans="1:10" x14ac:dyDescent="0.3">
      <c r="A402" s="6" t="s">
        <v>3</v>
      </c>
      <c r="B402" s="6" t="s">
        <v>3</v>
      </c>
      <c r="C402" s="6" t="s">
        <v>2</v>
      </c>
      <c r="D402" s="6" t="s">
        <v>4</v>
      </c>
      <c r="E402" s="6" t="s">
        <v>2</v>
      </c>
      <c r="F402" s="6" t="s">
        <v>4</v>
      </c>
      <c r="G402" s="6" t="s">
        <v>2</v>
      </c>
      <c r="H402" s="6" t="s">
        <v>4</v>
      </c>
      <c r="I402" s="6" t="s">
        <v>4</v>
      </c>
      <c r="J402" s="6" t="s">
        <v>5</v>
      </c>
    </row>
    <row r="403" spans="1:10" x14ac:dyDescent="0.3">
      <c r="A403" s="6" t="s">
        <v>3</v>
      </c>
      <c r="B403" s="6" t="s">
        <v>3</v>
      </c>
      <c r="C403" s="6" t="s">
        <v>2</v>
      </c>
      <c r="D403" s="6" t="s">
        <v>4</v>
      </c>
      <c r="E403" s="6" t="s">
        <v>3</v>
      </c>
      <c r="F403" s="6" t="s">
        <v>2</v>
      </c>
      <c r="G403" s="6" t="s">
        <v>2</v>
      </c>
      <c r="H403" s="6" t="s">
        <v>4</v>
      </c>
      <c r="I403" s="6" t="s">
        <v>2</v>
      </c>
      <c r="J403" s="6" t="s">
        <v>5</v>
      </c>
    </row>
    <row r="404" spans="1:10" x14ac:dyDescent="0.3">
      <c r="A404" s="6" t="s">
        <v>3</v>
      </c>
      <c r="B404" s="6" t="s">
        <v>3</v>
      </c>
      <c r="C404" s="6" t="s">
        <v>2</v>
      </c>
      <c r="D404" s="6" t="s">
        <v>4</v>
      </c>
      <c r="E404" s="6" t="s">
        <v>3</v>
      </c>
      <c r="F404" s="6" t="s">
        <v>2</v>
      </c>
      <c r="G404" s="6" t="s">
        <v>4</v>
      </c>
      <c r="H404" s="6" t="s">
        <v>2</v>
      </c>
      <c r="I404" s="6" t="s">
        <v>2</v>
      </c>
      <c r="J404" s="6" t="s">
        <v>5</v>
      </c>
    </row>
    <row r="405" spans="1:10" x14ac:dyDescent="0.3">
      <c r="A405" s="6" t="s">
        <v>3</v>
      </c>
      <c r="B405" s="6" t="s">
        <v>3</v>
      </c>
      <c r="C405" s="6" t="s">
        <v>2</v>
      </c>
      <c r="D405" s="6" t="s">
        <v>4</v>
      </c>
      <c r="E405" s="6" t="s">
        <v>3</v>
      </c>
      <c r="F405" s="6" t="s">
        <v>4</v>
      </c>
      <c r="G405" s="6" t="s">
        <v>2</v>
      </c>
      <c r="H405" s="6" t="s">
        <v>2</v>
      </c>
      <c r="I405" s="6" t="s">
        <v>2</v>
      </c>
      <c r="J405" s="6" t="s">
        <v>5</v>
      </c>
    </row>
    <row r="406" spans="1:10" x14ac:dyDescent="0.3">
      <c r="A406" s="6" t="s">
        <v>3</v>
      </c>
      <c r="B406" s="6" t="s">
        <v>3</v>
      </c>
      <c r="C406" s="6" t="s">
        <v>2</v>
      </c>
      <c r="D406" s="6" t="s">
        <v>4</v>
      </c>
      <c r="E406" s="6" t="s">
        <v>4</v>
      </c>
      <c r="F406" s="6" t="s">
        <v>2</v>
      </c>
      <c r="G406" s="6" t="s">
        <v>2</v>
      </c>
      <c r="H406" s="6" t="s">
        <v>3</v>
      </c>
      <c r="I406" s="6" t="s">
        <v>2</v>
      </c>
      <c r="J406" s="6" t="s">
        <v>5</v>
      </c>
    </row>
    <row r="407" spans="1:10" x14ac:dyDescent="0.3">
      <c r="A407" s="6" t="s">
        <v>3</v>
      </c>
      <c r="B407" s="6" t="s">
        <v>3</v>
      </c>
      <c r="C407" s="6" t="s">
        <v>2</v>
      </c>
      <c r="D407" s="6" t="s">
        <v>4</v>
      </c>
      <c r="E407" s="6" t="s">
        <v>4</v>
      </c>
      <c r="F407" s="6" t="s">
        <v>2</v>
      </c>
      <c r="G407" s="6" t="s">
        <v>3</v>
      </c>
      <c r="H407" s="6" t="s">
        <v>2</v>
      </c>
      <c r="I407" s="6" t="s">
        <v>2</v>
      </c>
      <c r="J407" s="6" t="s">
        <v>5</v>
      </c>
    </row>
    <row r="408" spans="1:10" x14ac:dyDescent="0.3">
      <c r="A408" s="6" t="s">
        <v>3</v>
      </c>
      <c r="B408" s="6" t="s">
        <v>3</v>
      </c>
      <c r="C408" s="6" t="s">
        <v>2</v>
      </c>
      <c r="D408" s="6" t="s">
        <v>4</v>
      </c>
      <c r="E408" s="6" t="s">
        <v>4</v>
      </c>
      <c r="F408" s="6" t="s">
        <v>2</v>
      </c>
      <c r="G408" s="6" t="s">
        <v>4</v>
      </c>
      <c r="H408" s="6" t="s">
        <v>4</v>
      </c>
      <c r="I408" s="6" t="s">
        <v>2</v>
      </c>
      <c r="J408" s="6" t="s">
        <v>5</v>
      </c>
    </row>
    <row r="409" spans="1:10" x14ac:dyDescent="0.3">
      <c r="A409" s="6" t="s">
        <v>3</v>
      </c>
      <c r="B409" s="6" t="s">
        <v>3</v>
      </c>
      <c r="C409" s="6" t="s">
        <v>2</v>
      </c>
      <c r="D409" s="6" t="s">
        <v>4</v>
      </c>
      <c r="E409" s="6" t="s">
        <v>4</v>
      </c>
      <c r="F409" s="6" t="s">
        <v>3</v>
      </c>
      <c r="G409" s="6" t="s">
        <v>2</v>
      </c>
      <c r="H409" s="6" t="s">
        <v>2</v>
      </c>
      <c r="I409" s="6" t="s">
        <v>2</v>
      </c>
      <c r="J409" s="6" t="s">
        <v>5</v>
      </c>
    </row>
    <row r="410" spans="1:10" x14ac:dyDescent="0.3">
      <c r="A410" s="6" t="s">
        <v>3</v>
      </c>
      <c r="B410" s="6" t="s">
        <v>3</v>
      </c>
      <c r="C410" s="6" t="s">
        <v>4</v>
      </c>
      <c r="D410" s="6" t="s">
        <v>2</v>
      </c>
      <c r="E410" s="6" t="s">
        <v>2</v>
      </c>
      <c r="F410" s="6" t="s">
        <v>2</v>
      </c>
      <c r="G410" s="6" t="s">
        <v>2</v>
      </c>
      <c r="H410" s="6" t="s">
        <v>3</v>
      </c>
      <c r="I410" s="6" t="s">
        <v>4</v>
      </c>
      <c r="J410" s="6" t="s">
        <v>5</v>
      </c>
    </row>
    <row r="411" spans="1:10" x14ac:dyDescent="0.3">
      <c r="A411" s="6" t="s">
        <v>3</v>
      </c>
      <c r="B411" s="6" t="s">
        <v>3</v>
      </c>
      <c r="C411" s="6" t="s">
        <v>4</v>
      </c>
      <c r="D411" s="6" t="s">
        <v>2</v>
      </c>
      <c r="E411" s="6" t="s">
        <v>2</v>
      </c>
      <c r="F411" s="6" t="s">
        <v>2</v>
      </c>
      <c r="G411" s="6" t="s">
        <v>4</v>
      </c>
      <c r="H411" s="6" t="s">
        <v>4</v>
      </c>
      <c r="I411" s="6" t="s">
        <v>4</v>
      </c>
      <c r="J411" s="6" t="s">
        <v>5</v>
      </c>
    </row>
    <row r="412" spans="1:10" x14ac:dyDescent="0.3">
      <c r="A412" s="6" t="s">
        <v>3</v>
      </c>
      <c r="B412" s="6" t="s">
        <v>3</v>
      </c>
      <c r="C412" s="6" t="s">
        <v>4</v>
      </c>
      <c r="D412" s="6" t="s">
        <v>2</v>
      </c>
      <c r="E412" s="6" t="s">
        <v>3</v>
      </c>
      <c r="F412" s="6" t="s">
        <v>4</v>
      </c>
      <c r="G412" s="6" t="s">
        <v>2</v>
      </c>
      <c r="H412" s="6" t="s">
        <v>2</v>
      </c>
      <c r="I412" s="6" t="s">
        <v>2</v>
      </c>
      <c r="J412" s="6" t="s">
        <v>5</v>
      </c>
    </row>
    <row r="413" spans="1:10" x14ac:dyDescent="0.3">
      <c r="A413" s="6" t="s">
        <v>3</v>
      </c>
      <c r="B413" s="6" t="s">
        <v>3</v>
      </c>
      <c r="C413" s="6" t="s">
        <v>4</v>
      </c>
      <c r="D413" s="6" t="s">
        <v>2</v>
      </c>
      <c r="E413" s="6" t="s">
        <v>4</v>
      </c>
      <c r="F413" s="6" t="s">
        <v>3</v>
      </c>
      <c r="G413" s="6" t="s">
        <v>2</v>
      </c>
      <c r="H413" s="6" t="s">
        <v>2</v>
      </c>
      <c r="I413" s="6" t="s">
        <v>2</v>
      </c>
      <c r="J413" s="6" t="s">
        <v>5</v>
      </c>
    </row>
    <row r="414" spans="1:10" x14ac:dyDescent="0.3">
      <c r="A414" s="6" t="s">
        <v>3</v>
      </c>
      <c r="B414" s="6" t="s">
        <v>3</v>
      </c>
      <c r="C414" s="6" t="s">
        <v>4</v>
      </c>
      <c r="D414" s="6" t="s">
        <v>3</v>
      </c>
      <c r="E414" s="6" t="s">
        <v>2</v>
      </c>
      <c r="F414" s="6" t="s">
        <v>4</v>
      </c>
      <c r="G414" s="6" t="s">
        <v>2</v>
      </c>
      <c r="H414" s="6" t="s">
        <v>2</v>
      </c>
      <c r="I414" s="6" t="s">
        <v>2</v>
      </c>
      <c r="J414" s="6" t="s">
        <v>5</v>
      </c>
    </row>
    <row r="415" spans="1:10" x14ac:dyDescent="0.3">
      <c r="A415" s="6" t="s">
        <v>3</v>
      </c>
      <c r="B415" s="6" t="s">
        <v>3</v>
      </c>
      <c r="C415" s="6" t="s">
        <v>4</v>
      </c>
      <c r="D415" s="6" t="s">
        <v>3</v>
      </c>
      <c r="E415" s="6" t="s">
        <v>4</v>
      </c>
      <c r="F415" s="6" t="s">
        <v>2</v>
      </c>
      <c r="G415" s="6" t="s">
        <v>2</v>
      </c>
      <c r="H415" s="6" t="s">
        <v>2</v>
      </c>
      <c r="I415" s="6" t="s">
        <v>2</v>
      </c>
      <c r="J415" s="6" t="s">
        <v>5</v>
      </c>
    </row>
    <row r="416" spans="1:10" x14ac:dyDescent="0.3">
      <c r="A416" s="6" t="s">
        <v>3</v>
      </c>
      <c r="B416" s="6" t="s">
        <v>3</v>
      </c>
      <c r="C416" s="6" t="s">
        <v>4</v>
      </c>
      <c r="D416" s="6" t="s">
        <v>4</v>
      </c>
      <c r="E416" s="6" t="s">
        <v>2</v>
      </c>
      <c r="F416" s="6" t="s">
        <v>3</v>
      </c>
      <c r="G416" s="6" t="s">
        <v>2</v>
      </c>
      <c r="H416" s="6" t="s">
        <v>2</v>
      </c>
      <c r="I416" s="6" t="s">
        <v>2</v>
      </c>
      <c r="J416" s="6" t="s">
        <v>5</v>
      </c>
    </row>
    <row r="417" spans="1:10" x14ac:dyDescent="0.3">
      <c r="A417" s="6" t="s">
        <v>3</v>
      </c>
      <c r="B417" s="6" t="s">
        <v>3</v>
      </c>
      <c r="C417" s="6" t="s">
        <v>4</v>
      </c>
      <c r="D417" s="6" t="s">
        <v>4</v>
      </c>
      <c r="E417" s="6" t="s">
        <v>3</v>
      </c>
      <c r="F417" s="6" t="s">
        <v>2</v>
      </c>
      <c r="G417" s="6" t="s">
        <v>2</v>
      </c>
      <c r="H417" s="6" t="s">
        <v>2</v>
      </c>
      <c r="I417" s="6" t="s">
        <v>2</v>
      </c>
      <c r="J417" s="6" t="s">
        <v>5</v>
      </c>
    </row>
    <row r="418" spans="1:10" x14ac:dyDescent="0.3">
      <c r="A418" s="6" t="s">
        <v>3</v>
      </c>
      <c r="B418" s="6" t="s">
        <v>3</v>
      </c>
      <c r="C418" s="6" t="s">
        <v>4</v>
      </c>
      <c r="D418" s="6" t="s">
        <v>4</v>
      </c>
      <c r="E418" s="6" t="s">
        <v>4</v>
      </c>
      <c r="F418" s="6" t="s">
        <v>4</v>
      </c>
      <c r="G418" s="6" t="s">
        <v>2</v>
      </c>
      <c r="H418" s="6" t="s">
        <v>2</v>
      </c>
      <c r="I418" s="6" t="s">
        <v>2</v>
      </c>
      <c r="J418" s="6" t="s">
        <v>5</v>
      </c>
    </row>
    <row r="419" spans="1:10" x14ac:dyDescent="0.3">
      <c r="A419" s="6" t="s">
        <v>3</v>
      </c>
      <c r="B419" s="6" t="s">
        <v>4</v>
      </c>
      <c r="C419" s="6" t="s">
        <v>2</v>
      </c>
      <c r="D419" s="6" t="s">
        <v>2</v>
      </c>
      <c r="E419" s="6" t="s">
        <v>2</v>
      </c>
      <c r="F419" s="6" t="s">
        <v>2</v>
      </c>
      <c r="G419" s="6" t="s">
        <v>3</v>
      </c>
      <c r="H419" s="6" t="s">
        <v>3</v>
      </c>
      <c r="I419" s="6" t="s">
        <v>4</v>
      </c>
      <c r="J419" s="6" t="s">
        <v>5</v>
      </c>
    </row>
    <row r="420" spans="1:10" x14ac:dyDescent="0.3">
      <c r="A420" s="6" t="s">
        <v>3</v>
      </c>
      <c r="B420" s="6" t="s">
        <v>4</v>
      </c>
      <c r="C420" s="6" t="s">
        <v>2</v>
      </c>
      <c r="D420" s="6" t="s">
        <v>2</v>
      </c>
      <c r="E420" s="6" t="s">
        <v>2</v>
      </c>
      <c r="F420" s="6" t="s">
        <v>2</v>
      </c>
      <c r="G420" s="6" t="s">
        <v>3</v>
      </c>
      <c r="H420" s="6" t="s">
        <v>4</v>
      </c>
      <c r="I420" s="6" t="s">
        <v>3</v>
      </c>
      <c r="J420" s="6" t="s">
        <v>5</v>
      </c>
    </row>
    <row r="421" spans="1:10" x14ac:dyDescent="0.3">
      <c r="A421" s="6" t="s">
        <v>3</v>
      </c>
      <c r="B421" s="6" t="s">
        <v>4</v>
      </c>
      <c r="C421" s="6" t="s">
        <v>2</v>
      </c>
      <c r="D421" s="6" t="s">
        <v>2</v>
      </c>
      <c r="E421" s="6" t="s">
        <v>2</v>
      </c>
      <c r="F421" s="6" t="s">
        <v>2</v>
      </c>
      <c r="G421" s="6" t="s">
        <v>4</v>
      </c>
      <c r="H421" s="6" t="s">
        <v>3</v>
      </c>
      <c r="I421" s="6" t="s">
        <v>3</v>
      </c>
      <c r="J421" s="6" t="s">
        <v>5</v>
      </c>
    </row>
    <row r="422" spans="1:10" x14ac:dyDescent="0.3">
      <c r="A422" s="6" t="s">
        <v>3</v>
      </c>
      <c r="B422" s="6" t="s">
        <v>4</v>
      </c>
      <c r="C422" s="6" t="s">
        <v>2</v>
      </c>
      <c r="D422" s="6" t="s">
        <v>2</v>
      </c>
      <c r="E422" s="6" t="s">
        <v>2</v>
      </c>
      <c r="F422" s="6" t="s">
        <v>3</v>
      </c>
      <c r="G422" s="6" t="s">
        <v>2</v>
      </c>
      <c r="H422" s="6" t="s">
        <v>3</v>
      </c>
      <c r="I422" s="6" t="s">
        <v>4</v>
      </c>
      <c r="J422" s="6" t="s">
        <v>5</v>
      </c>
    </row>
    <row r="423" spans="1:10" x14ac:dyDescent="0.3">
      <c r="A423" s="6" t="s">
        <v>3</v>
      </c>
      <c r="B423" s="6" t="s">
        <v>4</v>
      </c>
      <c r="C423" s="6" t="s">
        <v>2</v>
      </c>
      <c r="D423" s="6" t="s">
        <v>2</v>
      </c>
      <c r="E423" s="6" t="s">
        <v>2</v>
      </c>
      <c r="F423" s="6" t="s">
        <v>3</v>
      </c>
      <c r="G423" s="6" t="s">
        <v>2</v>
      </c>
      <c r="H423" s="6" t="s">
        <v>4</v>
      </c>
      <c r="I423" s="6" t="s">
        <v>3</v>
      </c>
      <c r="J423" s="6" t="s">
        <v>5</v>
      </c>
    </row>
    <row r="424" spans="1:10" x14ac:dyDescent="0.3">
      <c r="A424" s="6" t="s">
        <v>3</v>
      </c>
      <c r="B424" s="6" t="s">
        <v>4</v>
      </c>
      <c r="C424" s="6" t="s">
        <v>2</v>
      </c>
      <c r="D424" s="6" t="s">
        <v>2</v>
      </c>
      <c r="E424" s="6" t="s">
        <v>2</v>
      </c>
      <c r="F424" s="6" t="s">
        <v>4</v>
      </c>
      <c r="G424" s="6" t="s">
        <v>2</v>
      </c>
      <c r="H424" s="6" t="s">
        <v>3</v>
      </c>
      <c r="I424" s="6" t="s">
        <v>3</v>
      </c>
      <c r="J424" s="6" t="s">
        <v>5</v>
      </c>
    </row>
    <row r="425" spans="1:10" x14ac:dyDescent="0.3">
      <c r="A425" s="6" t="s">
        <v>3</v>
      </c>
      <c r="B425" s="6" t="s">
        <v>4</v>
      </c>
      <c r="C425" s="6" t="s">
        <v>2</v>
      </c>
      <c r="D425" s="6" t="s">
        <v>2</v>
      </c>
      <c r="E425" s="6" t="s">
        <v>3</v>
      </c>
      <c r="F425" s="6" t="s">
        <v>2</v>
      </c>
      <c r="G425" s="6" t="s">
        <v>3</v>
      </c>
      <c r="H425" s="6" t="s">
        <v>4</v>
      </c>
      <c r="I425" s="6" t="s">
        <v>2</v>
      </c>
      <c r="J425" s="6" t="s">
        <v>5</v>
      </c>
    </row>
    <row r="426" spans="1:10" x14ac:dyDescent="0.3">
      <c r="A426" s="6" t="s">
        <v>3</v>
      </c>
      <c r="B426" s="6" t="s">
        <v>4</v>
      </c>
      <c r="C426" s="6" t="s">
        <v>2</v>
      </c>
      <c r="D426" s="6" t="s">
        <v>2</v>
      </c>
      <c r="E426" s="6" t="s">
        <v>3</v>
      </c>
      <c r="F426" s="6" t="s">
        <v>2</v>
      </c>
      <c r="G426" s="6" t="s">
        <v>4</v>
      </c>
      <c r="H426" s="6" t="s">
        <v>3</v>
      </c>
      <c r="I426" s="6" t="s">
        <v>2</v>
      </c>
      <c r="J426" s="6" t="s">
        <v>5</v>
      </c>
    </row>
    <row r="427" spans="1:10" x14ac:dyDescent="0.3">
      <c r="A427" s="6" t="s">
        <v>3</v>
      </c>
      <c r="B427" s="6" t="s">
        <v>4</v>
      </c>
      <c r="C427" s="6" t="s">
        <v>2</v>
      </c>
      <c r="D427" s="6" t="s">
        <v>2</v>
      </c>
      <c r="E427" s="6" t="s">
        <v>4</v>
      </c>
      <c r="F427" s="6" t="s">
        <v>2</v>
      </c>
      <c r="G427" s="6" t="s">
        <v>3</v>
      </c>
      <c r="H427" s="6" t="s">
        <v>3</v>
      </c>
      <c r="I427" s="6" t="s">
        <v>2</v>
      </c>
      <c r="J427" s="6" t="s">
        <v>5</v>
      </c>
    </row>
    <row r="428" spans="1:10" x14ac:dyDescent="0.3">
      <c r="A428" s="6" t="s">
        <v>3</v>
      </c>
      <c r="B428" s="6" t="s">
        <v>4</v>
      </c>
      <c r="C428" s="6" t="s">
        <v>2</v>
      </c>
      <c r="D428" s="6" t="s">
        <v>3</v>
      </c>
      <c r="E428" s="6" t="s">
        <v>2</v>
      </c>
      <c r="F428" s="6" t="s">
        <v>2</v>
      </c>
      <c r="G428" s="6" t="s">
        <v>2</v>
      </c>
      <c r="H428" s="6" t="s">
        <v>3</v>
      </c>
      <c r="I428" s="6" t="s">
        <v>4</v>
      </c>
      <c r="J428" s="6" t="s">
        <v>5</v>
      </c>
    </row>
    <row r="429" spans="1:10" x14ac:dyDescent="0.3">
      <c r="A429" s="6" t="s">
        <v>3</v>
      </c>
      <c r="B429" s="6" t="s">
        <v>4</v>
      </c>
      <c r="C429" s="6" t="s">
        <v>2</v>
      </c>
      <c r="D429" s="6" t="s">
        <v>3</v>
      </c>
      <c r="E429" s="6" t="s">
        <v>2</v>
      </c>
      <c r="F429" s="6" t="s">
        <v>2</v>
      </c>
      <c r="G429" s="6" t="s">
        <v>2</v>
      </c>
      <c r="H429" s="6" t="s">
        <v>4</v>
      </c>
      <c r="I429" s="6" t="s">
        <v>3</v>
      </c>
      <c r="J429" s="6" t="s">
        <v>5</v>
      </c>
    </row>
    <row r="430" spans="1:10" x14ac:dyDescent="0.3">
      <c r="A430" s="6" t="s">
        <v>3</v>
      </c>
      <c r="B430" s="6" t="s">
        <v>4</v>
      </c>
      <c r="C430" s="6" t="s">
        <v>2</v>
      </c>
      <c r="D430" s="6" t="s">
        <v>3</v>
      </c>
      <c r="E430" s="6" t="s">
        <v>2</v>
      </c>
      <c r="F430" s="6" t="s">
        <v>2</v>
      </c>
      <c r="G430" s="6" t="s">
        <v>4</v>
      </c>
      <c r="H430" s="6" t="s">
        <v>3</v>
      </c>
      <c r="I430" s="6" t="s">
        <v>2</v>
      </c>
      <c r="J430" s="6" t="s">
        <v>5</v>
      </c>
    </row>
    <row r="431" spans="1:10" x14ac:dyDescent="0.3">
      <c r="A431" s="6" t="s">
        <v>3</v>
      </c>
      <c r="B431" s="6" t="s">
        <v>4</v>
      </c>
      <c r="C431" s="6" t="s">
        <v>2</v>
      </c>
      <c r="D431" s="6" t="s">
        <v>3</v>
      </c>
      <c r="E431" s="6" t="s">
        <v>4</v>
      </c>
      <c r="F431" s="6" t="s">
        <v>3</v>
      </c>
      <c r="G431" s="6" t="s">
        <v>2</v>
      </c>
      <c r="H431" s="6" t="s">
        <v>2</v>
      </c>
      <c r="I431" s="6" t="s">
        <v>2</v>
      </c>
      <c r="J431" s="6" t="s">
        <v>5</v>
      </c>
    </row>
    <row r="432" spans="1:10" x14ac:dyDescent="0.3">
      <c r="A432" s="6" t="s">
        <v>3</v>
      </c>
      <c r="B432" s="6" t="s">
        <v>4</v>
      </c>
      <c r="C432" s="6" t="s">
        <v>2</v>
      </c>
      <c r="D432" s="6" t="s">
        <v>4</v>
      </c>
      <c r="E432" s="6" t="s">
        <v>2</v>
      </c>
      <c r="F432" s="6" t="s">
        <v>2</v>
      </c>
      <c r="G432" s="6" t="s">
        <v>2</v>
      </c>
      <c r="H432" s="6" t="s">
        <v>3</v>
      </c>
      <c r="I432" s="6" t="s">
        <v>3</v>
      </c>
      <c r="J432" s="6" t="s">
        <v>5</v>
      </c>
    </row>
    <row r="433" spans="1:10" x14ac:dyDescent="0.3">
      <c r="A433" s="6" t="s">
        <v>3</v>
      </c>
      <c r="B433" s="6" t="s">
        <v>4</v>
      </c>
      <c r="C433" s="6" t="s">
        <v>2</v>
      </c>
      <c r="D433" s="6" t="s">
        <v>4</v>
      </c>
      <c r="E433" s="6" t="s">
        <v>2</v>
      </c>
      <c r="F433" s="6" t="s">
        <v>2</v>
      </c>
      <c r="G433" s="6" t="s">
        <v>3</v>
      </c>
      <c r="H433" s="6" t="s">
        <v>3</v>
      </c>
      <c r="I433" s="6" t="s">
        <v>2</v>
      </c>
      <c r="J433" s="6" t="s">
        <v>5</v>
      </c>
    </row>
    <row r="434" spans="1:10" x14ac:dyDescent="0.3">
      <c r="A434" s="6" t="s">
        <v>3</v>
      </c>
      <c r="B434" s="6" t="s">
        <v>4</v>
      </c>
      <c r="C434" s="6" t="s">
        <v>2</v>
      </c>
      <c r="D434" s="6" t="s">
        <v>4</v>
      </c>
      <c r="E434" s="6" t="s">
        <v>2</v>
      </c>
      <c r="F434" s="6" t="s">
        <v>3</v>
      </c>
      <c r="G434" s="6" t="s">
        <v>2</v>
      </c>
      <c r="H434" s="6" t="s">
        <v>2</v>
      </c>
      <c r="I434" s="6" t="s">
        <v>3</v>
      </c>
      <c r="J434" s="6" t="s">
        <v>5</v>
      </c>
    </row>
    <row r="435" spans="1:10" x14ac:dyDescent="0.3">
      <c r="A435" s="6" t="s">
        <v>3</v>
      </c>
      <c r="B435" s="6" t="s">
        <v>4</v>
      </c>
      <c r="C435" s="6" t="s">
        <v>2</v>
      </c>
      <c r="D435" s="6" t="s">
        <v>4</v>
      </c>
      <c r="E435" s="6" t="s">
        <v>2</v>
      </c>
      <c r="F435" s="6" t="s">
        <v>3</v>
      </c>
      <c r="G435" s="6" t="s">
        <v>2</v>
      </c>
      <c r="H435" s="6" t="s">
        <v>3</v>
      </c>
      <c r="I435" s="6" t="s">
        <v>2</v>
      </c>
      <c r="J435" s="6" t="s">
        <v>5</v>
      </c>
    </row>
    <row r="436" spans="1:10" x14ac:dyDescent="0.3">
      <c r="A436" s="6" t="s">
        <v>3</v>
      </c>
      <c r="B436" s="6" t="s">
        <v>4</v>
      </c>
      <c r="C436" s="6" t="s">
        <v>2</v>
      </c>
      <c r="D436" s="6" t="s">
        <v>4</v>
      </c>
      <c r="E436" s="6" t="s">
        <v>2</v>
      </c>
      <c r="F436" s="6" t="s">
        <v>3</v>
      </c>
      <c r="G436" s="6" t="s">
        <v>2</v>
      </c>
      <c r="H436" s="6" t="s">
        <v>4</v>
      </c>
      <c r="I436" s="6" t="s">
        <v>4</v>
      </c>
      <c r="J436" s="6" t="s">
        <v>5</v>
      </c>
    </row>
    <row r="437" spans="1:10" x14ac:dyDescent="0.3">
      <c r="A437" s="6" t="s">
        <v>3</v>
      </c>
      <c r="B437" s="6" t="s">
        <v>4</v>
      </c>
      <c r="C437" s="6" t="s">
        <v>2</v>
      </c>
      <c r="D437" s="6" t="s">
        <v>4</v>
      </c>
      <c r="E437" s="6" t="s">
        <v>2</v>
      </c>
      <c r="F437" s="6" t="s">
        <v>4</v>
      </c>
      <c r="G437" s="6" t="s">
        <v>2</v>
      </c>
      <c r="H437" s="6" t="s">
        <v>3</v>
      </c>
      <c r="I437" s="6" t="s">
        <v>4</v>
      </c>
      <c r="J437" s="6" t="s">
        <v>5</v>
      </c>
    </row>
    <row r="438" spans="1:10" x14ac:dyDescent="0.3">
      <c r="A438" s="6" t="s">
        <v>3</v>
      </c>
      <c r="B438" s="6" t="s">
        <v>4</v>
      </c>
      <c r="C438" s="6" t="s">
        <v>2</v>
      </c>
      <c r="D438" s="6" t="s">
        <v>4</v>
      </c>
      <c r="E438" s="6" t="s">
        <v>2</v>
      </c>
      <c r="F438" s="6" t="s">
        <v>4</v>
      </c>
      <c r="G438" s="6" t="s">
        <v>2</v>
      </c>
      <c r="H438" s="6" t="s">
        <v>4</v>
      </c>
      <c r="I438" s="6" t="s">
        <v>3</v>
      </c>
      <c r="J438" s="6" t="s">
        <v>5</v>
      </c>
    </row>
    <row r="439" spans="1:10" x14ac:dyDescent="0.3">
      <c r="A439" s="6" t="s">
        <v>3</v>
      </c>
      <c r="B439" s="6" t="s">
        <v>4</v>
      </c>
      <c r="C439" s="6" t="s">
        <v>2</v>
      </c>
      <c r="D439" s="6" t="s">
        <v>4</v>
      </c>
      <c r="E439" s="6" t="s">
        <v>3</v>
      </c>
      <c r="F439" s="6" t="s">
        <v>2</v>
      </c>
      <c r="G439" s="6" t="s">
        <v>2</v>
      </c>
      <c r="H439" s="6" t="s">
        <v>3</v>
      </c>
      <c r="I439" s="6" t="s">
        <v>2</v>
      </c>
      <c r="J439" s="6" t="s">
        <v>5</v>
      </c>
    </row>
    <row r="440" spans="1:10" x14ac:dyDescent="0.3">
      <c r="A440" s="6" t="s">
        <v>3</v>
      </c>
      <c r="B440" s="6" t="s">
        <v>4</v>
      </c>
      <c r="C440" s="6" t="s">
        <v>2</v>
      </c>
      <c r="D440" s="6" t="s">
        <v>4</v>
      </c>
      <c r="E440" s="6" t="s">
        <v>3</v>
      </c>
      <c r="F440" s="6" t="s">
        <v>2</v>
      </c>
      <c r="G440" s="6" t="s">
        <v>3</v>
      </c>
      <c r="H440" s="6" t="s">
        <v>2</v>
      </c>
      <c r="I440" s="6" t="s">
        <v>2</v>
      </c>
      <c r="J440" s="6" t="s">
        <v>5</v>
      </c>
    </row>
    <row r="441" spans="1:10" x14ac:dyDescent="0.3">
      <c r="A441" s="6" t="s">
        <v>3</v>
      </c>
      <c r="B441" s="6" t="s">
        <v>4</v>
      </c>
      <c r="C441" s="6" t="s">
        <v>2</v>
      </c>
      <c r="D441" s="6" t="s">
        <v>4</v>
      </c>
      <c r="E441" s="6" t="s">
        <v>3</v>
      </c>
      <c r="F441" s="6" t="s">
        <v>2</v>
      </c>
      <c r="G441" s="6" t="s">
        <v>4</v>
      </c>
      <c r="H441" s="6" t="s">
        <v>4</v>
      </c>
      <c r="I441" s="6" t="s">
        <v>2</v>
      </c>
      <c r="J441" s="6" t="s">
        <v>5</v>
      </c>
    </row>
    <row r="442" spans="1:10" x14ac:dyDescent="0.3">
      <c r="A442" s="6" t="s">
        <v>3</v>
      </c>
      <c r="B442" s="6" t="s">
        <v>4</v>
      </c>
      <c r="C442" s="6" t="s">
        <v>2</v>
      </c>
      <c r="D442" s="6" t="s">
        <v>4</v>
      </c>
      <c r="E442" s="6" t="s">
        <v>3</v>
      </c>
      <c r="F442" s="6" t="s">
        <v>3</v>
      </c>
      <c r="G442" s="6" t="s">
        <v>2</v>
      </c>
      <c r="H442" s="6" t="s">
        <v>2</v>
      </c>
      <c r="I442" s="6" t="s">
        <v>2</v>
      </c>
      <c r="J442" s="6" t="s">
        <v>5</v>
      </c>
    </row>
    <row r="443" spans="1:10" x14ac:dyDescent="0.3">
      <c r="A443" s="6" t="s">
        <v>3</v>
      </c>
      <c r="B443" s="6" t="s">
        <v>4</v>
      </c>
      <c r="C443" s="6" t="s">
        <v>2</v>
      </c>
      <c r="D443" s="6" t="s">
        <v>4</v>
      </c>
      <c r="E443" s="6" t="s">
        <v>4</v>
      </c>
      <c r="F443" s="6" t="s">
        <v>2</v>
      </c>
      <c r="G443" s="6" t="s">
        <v>3</v>
      </c>
      <c r="H443" s="6" t="s">
        <v>4</v>
      </c>
      <c r="I443" s="6" t="s">
        <v>2</v>
      </c>
      <c r="J443" s="6" t="s">
        <v>5</v>
      </c>
    </row>
    <row r="444" spans="1:10" x14ac:dyDescent="0.3">
      <c r="A444" s="6" t="s">
        <v>3</v>
      </c>
      <c r="B444" s="6" t="s">
        <v>4</v>
      </c>
      <c r="C444" s="6" t="s">
        <v>2</v>
      </c>
      <c r="D444" s="6" t="s">
        <v>4</v>
      </c>
      <c r="E444" s="6" t="s">
        <v>4</v>
      </c>
      <c r="F444" s="6" t="s">
        <v>2</v>
      </c>
      <c r="G444" s="6" t="s">
        <v>4</v>
      </c>
      <c r="H444" s="6" t="s">
        <v>3</v>
      </c>
      <c r="I444" s="6" t="s">
        <v>2</v>
      </c>
      <c r="J444" s="6" t="s">
        <v>5</v>
      </c>
    </row>
    <row r="445" spans="1:10" x14ac:dyDescent="0.3">
      <c r="A445" s="6" t="s">
        <v>3</v>
      </c>
      <c r="B445" s="6" t="s">
        <v>4</v>
      </c>
      <c r="C445" s="6" t="s">
        <v>3</v>
      </c>
      <c r="D445" s="6" t="s">
        <v>2</v>
      </c>
      <c r="E445" s="6" t="s">
        <v>2</v>
      </c>
      <c r="F445" s="6" t="s">
        <v>2</v>
      </c>
      <c r="G445" s="6" t="s">
        <v>2</v>
      </c>
      <c r="H445" s="6" t="s">
        <v>3</v>
      </c>
      <c r="I445" s="6" t="s">
        <v>4</v>
      </c>
      <c r="J445" s="6" t="s">
        <v>5</v>
      </c>
    </row>
    <row r="446" spans="1:10" x14ac:dyDescent="0.3">
      <c r="A446" s="6" t="s">
        <v>3</v>
      </c>
      <c r="B446" s="6" t="s">
        <v>4</v>
      </c>
      <c r="C446" s="6" t="s">
        <v>3</v>
      </c>
      <c r="D446" s="6" t="s">
        <v>2</v>
      </c>
      <c r="E446" s="6" t="s">
        <v>2</v>
      </c>
      <c r="F446" s="6" t="s">
        <v>2</v>
      </c>
      <c r="G446" s="6" t="s">
        <v>2</v>
      </c>
      <c r="H446" s="6" t="s">
        <v>4</v>
      </c>
      <c r="I446" s="6" t="s">
        <v>3</v>
      </c>
      <c r="J446" s="6" t="s">
        <v>5</v>
      </c>
    </row>
    <row r="447" spans="1:10" x14ac:dyDescent="0.3">
      <c r="A447" s="6" t="s">
        <v>3</v>
      </c>
      <c r="B447" s="6" t="s">
        <v>4</v>
      </c>
      <c r="C447" s="6" t="s">
        <v>3</v>
      </c>
      <c r="D447" s="6" t="s">
        <v>2</v>
      </c>
      <c r="E447" s="6" t="s">
        <v>2</v>
      </c>
      <c r="F447" s="6" t="s">
        <v>2</v>
      </c>
      <c r="G447" s="6" t="s">
        <v>3</v>
      </c>
      <c r="H447" s="6" t="s">
        <v>2</v>
      </c>
      <c r="I447" s="6" t="s">
        <v>4</v>
      </c>
      <c r="J447" s="6" t="s">
        <v>5</v>
      </c>
    </row>
    <row r="448" spans="1:10" x14ac:dyDescent="0.3">
      <c r="A448" s="6" t="s">
        <v>3</v>
      </c>
      <c r="B448" s="6" t="s">
        <v>4</v>
      </c>
      <c r="C448" s="6" t="s">
        <v>3</v>
      </c>
      <c r="D448" s="6" t="s">
        <v>2</v>
      </c>
      <c r="E448" s="6" t="s">
        <v>2</v>
      </c>
      <c r="F448" s="6" t="s">
        <v>2</v>
      </c>
      <c r="G448" s="6" t="s">
        <v>3</v>
      </c>
      <c r="H448" s="6" t="s">
        <v>4</v>
      </c>
      <c r="I448" s="6" t="s">
        <v>2</v>
      </c>
      <c r="J448" s="6" t="s">
        <v>5</v>
      </c>
    </row>
    <row r="449" spans="1:10" x14ac:dyDescent="0.3">
      <c r="A449" s="6" t="s">
        <v>3</v>
      </c>
      <c r="B449" s="6" t="s">
        <v>4</v>
      </c>
      <c r="C449" s="6" t="s">
        <v>3</v>
      </c>
      <c r="D449" s="6" t="s">
        <v>2</v>
      </c>
      <c r="E449" s="6" t="s">
        <v>2</v>
      </c>
      <c r="F449" s="6" t="s">
        <v>2</v>
      </c>
      <c r="G449" s="6" t="s">
        <v>4</v>
      </c>
      <c r="H449" s="6" t="s">
        <v>2</v>
      </c>
      <c r="I449" s="6" t="s">
        <v>3</v>
      </c>
      <c r="J449" s="6" t="s">
        <v>5</v>
      </c>
    </row>
    <row r="450" spans="1:10" x14ac:dyDescent="0.3">
      <c r="A450" s="6" t="s">
        <v>3</v>
      </c>
      <c r="B450" s="6" t="s">
        <v>4</v>
      </c>
      <c r="C450" s="6" t="s">
        <v>3</v>
      </c>
      <c r="D450" s="6" t="s">
        <v>2</v>
      </c>
      <c r="E450" s="6" t="s">
        <v>2</v>
      </c>
      <c r="F450" s="6" t="s">
        <v>2</v>
      </c>
      <c r="G450" s="6" t="s">
        <v>4</v>
      </c>
      <c r="H450" s="6" t="s">
        <v>3</v>
      </c>
      <c r="I450" s="6" t="s">
        <v>2</v>
      </c>
      <c r="J450" s="6" t="s">
        <v>5</v>
      </c>
    </row>
    <row r="451" spans="1:10" x14ac:dyDescent="0.3">
      <c r="A451" s="6" t="s">
        <v>3</v>
      </c>
      <c r="B451" s="6" t="s">
        <v>4</v>
      </c>
      <c r="C451" s="6" t="s">
        <v>3</v>
      </c>
      <c r="D451" s="6" t="s">
        <v>2</v>
      </c>
      <c r="E451" s="6" t="s">
        <v>2</v>
      </c>
      <c r="F451" s="6" t="s">
        <v>2</v>
      </c>
      <c r="G451" s="6" t="s">
        <v>4</v>
      </c>
      <c r="H451" s="6" t="s">
        <v>4</v>
      </c>
      <c r="I451" s="6" t="s">
        <v>4</v>
      </c>
      <c r="J451" s="6" t="s">
        <v>5</v>
      </c>
    </row>
    <row r="452" spans="1:10" x14ac:dyDescent="0.3">
      <c r="A452" s="6" t="s">
        <v>3</v>
      </c>
      <c r="B452" s="6" t="s">
        <v>4</v>
      </c>
      <c r="C452" s="6" t="s">
        <v>3</v>
      </c>
      <c r="D452" s="6" t="s">
        <v>2</v>
      </c>
      <c r="E452" s="6" t="s">
        <v>3</v>
      </c>
      <c r="F452" s="6" t="s">
        <v>4</v>
      </c>
      <c r="G452" s="6" t="s">
        <v>2</v>
      </c>
      <c r="H452" s="6" t="s">
        <v>2</v>
      </c>
      <c r="I452" s="6" t="s">
        <v>2</v>
      </c>
      <c r="J452" s="6" t="s">
        <v>5</v>
      </c>
    </row>
    <row r="453" spans="1:10" x14ac:dyDescent="0.3">
      <c r="A453" s="6" t="s">
        <v>3</v>
      </c>
      <c r="B453" s="6" t="s">
        <v>4</v>
      </c>
      <c r="C453" s="6" t="s">
        <v>3</v>
      </c>
      <c r="D453" s="6" t="s">
        <v>2</v>
      </c>
      <c r="E453" s="6" t="s">
        <v>4</v>
      </c>
      <c r="F453" s="6" t="s">
        <v>3</v>
      </c>
      <c r="G453" s="6" t="s">
        <v>2</v>
      </c>
      <c r="H453" s="6" t="s">
        <v>2</v>
      </c>
      <c r="I453" s="6" t="s">
        <v>2</v>
      </c>
      <c r="J453" s="6" t="s">
        <v>5</v>
      </c>
    </row>
    <row r="454" spans="1:10" x14ac:dyDescent="0.3">
      <c r="A454" s="6" t="s">
        <v>3</v>
      </c>
      <c r="B454" s="6" t="s">
        <v>4</v>
      </c>
      <c r="C454" s="6" t="s">
        <v>3</v>
      </c>
      <c r="D454" s="6" t="s">
        <v>3</v>
      </c>
      <c r="E454" s="6" t="s">
        <v>2</v>
      </c>
      <c r="F454" s="6" t="s">
        <v>4</v>
      </c>
      <c r="G454" s="6" t="s">
        <v>2</v>
      </c>
      <c r="H454" s="6" t="s">
        <v>2</v>
      </c>
      <c r="I454" s="6" t="s">
        <v>2</v>
      </c>
      <c r="J454" s="6" t="s">
        <v>5</v>
      </c>
    </row>
    <row r="455" spans="1:10" x14ac:dyDescent="0.3">
      <c r="A455" s="6" t="s">
        <v>3</v>
      </c>
      <c r="B455" s="6" t="s">
        <v>4</v>
      </c>
      <c r="C455" s="6" t="s">
        <v>3</v>
      </c>
      <c r="D455" s="6" t="s">
        <v>3</v>
      </c>
      <c r="E455" s="6" t="s">
        <v>4</v>
      </c>
      <c r="F455" s="6" t="s">
        <v>2</v>
      </c>
      <c r="G455" s="6" t="s">
        <v>2</v>
      </c>
      <c r="H455" s="6" t="s">
        <v>2</v>
      </c>
      <c r="I455" s="6" t="s">
        <v>2</v>
      </c>
      <c r="J455" s="6" t="s">
        <v>5</v>
      </c>
    </row>
    <row r="456" spans="1:10" x14ac:dyDescent="0.3">
      <c r="A456" s="6" t="s">
        <v>3</v>
      </c>
      <c r="B456" s="6" t="s">
        <v>4</v>
      </c>
      <c r="C456" s="6" t="s">
        <v>3</v>
      </c>
      <c r="D456" s="6" t="s">
        <v>4</v>
      </c>
      <c r="E456" s="6" t="s">
        <v>2</v>
      </c>
      <c r="F456" s="6" t="s">
        <v>3</v>
      </c>
      <c r="G456" s="6" t="s">
        <v>2</v>
      </c>
      <c r="H456" s="6" t="s">
        <v>2</v>
      </c>
      <c r="I456" s="6" t="s">
        <v>2</v>
      </c>
      <c r="J456" s="6" t="s">
        <v>5</v>
      </c>
    </row>
    <row r="457" spans="1:10" x14ac:dyDescent="0.3">
      <c r="A457" s="6" t="s">
        <v>3</v>
      </c>
      <c r="B457" s="6" t="s">
        <v>4</v>
      </c>
      <c r="C457" s="6" t="s">
        <v>3</v>
      </c>
      <c r="D457" s="6" t="s">
        <v>4</v>
      </c>
      <c r="E457" s="6" t="s">
        <v>3</v>
      </c>
      <c r="F457" s="6" t="s">
        <v>2</v>
      </c>
      <c r="G457" s="6" t="s">
        <v>2</v>
      </c>
      <c r="H457" s="6" t="s">
        <v>2</v>
      </c>
      <c r="I457" s="6" t="s">
        <v>2</v>
      </c>
      <c r="J457" s="6" t="s">
        <v>5</v>
      </c>
    </row>
    <row r="458" spans="1:10" x14ac:dyDescent="0.3">
      <c r="A458" s="6" t="s">
        <v>3</v>
      </c>
      <c r="B458" s="6" t="s">
        <v>4</v>
      </c>
      <c r="C458" s="6" t="s">
        <v>3</v>
      </c>
      <c r="D458" s="6" t="s">
        <v>4</v>
      </c>
      <c r="E458" s="6" t="s">
        <v>4</v>
      </c>
      <c r="F458" s="6" t="s">
        <v>4</v>
      </c>
      <c r="G458" s="6" t="s">
        <v>2</v>
      </c>
      <c r="H458" s="6" t="s">
        <v>2</v>
      </c>
      <c r="I458" s="6" t="s">
        <v>2</v>
      </c>
      <c r="J458" s="6" t="s">
        <v>5</v>
      </c>
    </row>
    <row r="459" spans="1:10" x14ac:dyDescent="0.3">
      <c r="A459" s="6" t="s">
        <v>3</v>
      </c>
      <c r="B459" s="6" t="s">
        <v>4</v>
      </c>
      <c r="C459" s="6" t="s">
        <v>4</v>
      </c>
      <c r="D459" s="6" t="s">
        <v>2</v>
      </c>
      <c r="E459" s="6" t="s">
        <v>2</v>
      </c>
      <c r="F459" s="6" t="s">
        <v>2</v>
      </c>
      <c r="G459" s="6" t="s">
        <v>2</v>
      </c>
      <c r="H459" s="6" t="s">
        <v>3</v>
      </c>
      <c r="I459" s="6" t="s">
        <v>3</v>
      </c>
      <c r="J459" s="6" t="s">
        <v>5</v>
      </c>
    </row>
    <row r="460" spans="1:10" x14ac:dyDescent="0.3">
      <c r="A460" s="6" t="s">
        <v>3</v>
      </c>
      <c r="B460" s="6" t="s">
        <v>4</v>
      </c>
      <c r="C460" s="6" t="s">
        <v>4</v>
      </c>
      <c r="D460" s="6" t="s">
        <v>2</v>
      </c>
      <c r="E460" s="6" t="s">
        <v>2</v>
      </c>
      <c r="F460" s="6" t="s">
        <v>2</v>
      </c>
      <c r="G460" s="6" t="s">
        <v>3</v>
      </c>
      <c r="H460" s="6" t="s">
        <v>2</v>
      </c>
      <c r="I460" s="6" t="s">
        <v>3</v>
      </c>
      <c r="J460" s="6" t="s">
        <v>5</v>
      </c>
    </row>
    <row r="461" spans="1:10" x14ac:dyDescent="0.3">
      <c r="A461" s="6" t="s">
        <v>3</v>
      </c>
      <c r="B461" s="6" t="s">
        <v>4</v>
      </c>
      <c r="C461" s="6" t="s">
        <v>4</v>
      </c>
      <c r="D461" s="6" t="s">
        <v>2</v>
      </c>
      <c r="E461" s="6" t="s">
        <v>2</v>
      </c>
      <c r="F461" s="6" t="s">
        <v>2</v>
      </c>
      <c r="G461" s="6" t="s">
        <v>3</v>
      </c>
      <c r="H461" s="6" t="s">
        <v>3</v>
      </c>
      <c r="I461" s="6" t="s">
        <v>2</v>
      </c>
      <c r="J461" s="6" t="s">
        <v>5</v>
      </c>
    </row>
    <row r="462" spans="1:10" x14ac:dyDescent="0.3">
      <c r="A462" s="6" t="s">
        <v>3</v>
      </c>
      <c r="B462" s="6" t="s">
        <v>4</v>
      </c>
      <c r="C462" s="6" t="s">
        <v>4</v>
      </c>
      <c r="D462" s="6" t="s">
        <v>2</v>
      </c>
      <c r="E462" s="6" t="s">
        <v>2</v>
      </c>
      <c r="F462" s="6" t="s">
        <v>2</v>
      </c>
      <c r="G462" s="6" t="s">
        <v>3</v>
      </c>
      <c r="H462" s="6" t="s">
        <v>4</v>
      </c>
      <c r="I462" s="6" t="s">
        <v>4</v>
      </c>
      <c r="J462" s="6" t="s">
        <v>5</v>
      </c>
    </row>
    <row r="463" spans="1:10" x14ac:dyDescent="0.3">
      <c r="A463" s="6" t="s">
        <v>3</v>
      </c>
      <c r="B463" s="6" t="s">
        <v>4</v>
      </c>
      <c r="C463" s="6" t="s">
        <v>4</v>
      </c>
      <c r="D463" s="6" t="s">
        <v>2</v>
      </c>
      <c r="E463" s="6" t="s">
        <v>2</v>
      </c>
      <c r="F463" s="6" t="s">
        <v>2</v>
      </c>
      <c r="G463" s="6" t="s">
        <v>4</v>
      </c>
      <c r="H463" s="6" t="s">
        <v>3</v>
      </c>
      <c r="I463" s="6" t="s">
        <v>4</v>
      </c>
      <c r="J463" s="6" t="s">
        <v>5</v>
      </c>
    </row>
    <row r="464" spans="1:10" x14ac:dyDescent="0.3">
      <c r="A464" s="6" t="s">
        <v>3</v>
      </c>
      <c r="B464" s="6" t="s">
        <v>4</v>
      </c>
      <c r="C464" s="6" t="s">
        <v>4</v>
      </c>
      <c r="D464" s="6" t="s">
        <v>2</v>
      </c>
      <c r="E464" s="6" t="s">
        <v>2</v>
      </c>
      <c r="F464" s="6" t="s">
        <v>2</v>
      </c>
      <c r="G464" s="6" t="s">
        <v>4</v>
      </c>
      <c r="H464" s="6" t="s">
        <v>4</v>
      </c>
      <c r="I464" s="6" t="s">
        <v>3</v>
      </c>
      <c r="J464" s="6" t="s">
        <v>5</v>
      </c>
    </row>
    <row r="465" spans="1:10" x14ac:dyDescent="0.3">
      <c r="A465" s="6" t="s">
        <v>3</v>
      </c>
      <c r="B465" s="6" t="s">
        <v>4</v>
      </c>
      <c r="C465" s="6" t="s">
        <v>4</v>
      </c>
      <c r="D465" s="6" t="s">
        <v>2</v>
      </c>
      <c r="E465" s="6" t="s">
        <v>3</v>
      </c>
      <c r="F465" s="6" t="s">
        <v>3</v>
      </c>
      <c r="G465" s="6" t="s">
        <v>2</v>
      </c>
      <c r="H465" s="6" t="s">
        <v>2</v>
      </c>
      <c r="I465" s="6" t="s">
        <v>2</v>
      </c>
      <c r="J465" s="6" t="s">
        <v>5</v>
      </c>
    </row>
    <row r="466" spans="1:10" x14ac:dyDescent="0.3">
      <c r="A466" s="6" t="s">
        <v>3</v>
      </c>
      <c r="B466" s="6" t="s">
        <v>4</v>
      </c>
      <c r="C466" s="6" t="s">
        <v>4</v>
      </c>
      <c r="D466" s="6" t="s">
        <v>3</v>
      </c>
      <c r="E466" s="6" t="s">
        <v>2</v>
      </c>
      <c r="F466" s="6" t="s">
        <v>3</v>
      </c>
      <c r="G466" s="6" t="s">
        <v>2</v>
      </c>
      <c r="H466" s="6" t="s">
        <v>2</v>
      </c>
      <c r="I466" s="6" t="s">
        <v>2</v>
      </c>
      <c r="J466" s="6" t="s">
        <v>5</v>
      </c>
    </row>
    <row r="467" spans="1:10" x14ac:dyDescent="0.3">
      <c r="A467" s="6" t="s">
        <v>3</v>
      </c>
      <c r="B467" s="6" t="s">
        <v>4</v>
      </c>
      <c r="C467" s="6" t="s">
        <v>4</v>
      </c>
      <c r="D467" s="6" t="s">
        <v>3</v>
      </c>
      <c r="E467" s="6" t="s">
        <v>3</v>
      </c>
      <c r="F467" s="6" t="s">
        <v>2</v>
      </c>
      <c r="G467" s="6" t="s">
        <v>2</v>
      </c>
      <c r="H467" s="6" t="s">
        <v>2</v>
      </c>
      <c r="I467" s="6" t="s">
        <v>2</v>
      </c>
      <c r="J467" s="6" t="s">
        <v>5</v>
      </c>
    </row>
    <row r="468" spans="1:10" x14ac:dyDescent="0.3">
      <c r="A468" s="6" t="s">
        <v>3</v>
      </c>
      <c r="B468" s="6" t="s">
        <v>4</v>
      </c>
      <c r="C468" s="6" t="s">
        <v>4</v>
      </c>
      <c r="D468" s="6" t="s">
        <v>3</v>
      </c>
      <c r="E468" s="6" t="s">
        <v>4</v>
      </c>
      <c r="F468" s="6" t="s">
        <v>4</v>
      </c>
      <c r="G468" s="6" t="s">
        <v>2</v>
      </c>
      <c r="H468" s="6" t="s">
        <v>2</v>
      </c>
      <c r="I468" s="6" t="s">
        <v>2</v>
      </c>
      <c r="J468" s="6" t="s">
        <v>5</v>
      </c>
    </row>
    <row r="469" spans="1:10" x14ac:dyDescent="0.3">
      <c r="A469" s="6" t="s">
        <v>3</v>
      </c>
      <c r="B469" s="6" t="s">
        <v>4</v>
      </c>
      <c r="C469" s="6" t="s">
        <v>4</v>
      </c>
      <c r="D469" s="6" t="s">
        <v>4</v>
      </c>
      <c r="E469" s="6" t="s">
        <v>3</v>
      </c>
      <c r="F469" s="6" t="s">
        <v>4</v>
      </c>
      <c r="G469" s="6" t="s">
        <v>2</v>
      </c>
      <c r="H469" s="6" t="s">
        <v>2</v>
      </c>
      <c r="I469" s="6" t="s">
        <v>2</v>
      </c>
      <c r="J469" s="6" t="s">
        <v>5</v>
      </c>
    </row>
    <row r="470" spans="1:10" x14ac:dyDescent="0.3">
      <c r="A470" s="6" t="s">
        <v>3</v>
      </c>
      <c r="B470" s="6" t="s">
        <v>4</v>
      </c>
      <c r="C470" s="6" t="s">
        <v>4</v>
      </c>
      <c r="D470" s="6" t="s">
        <v>4</v>
      </c>
      <c r="E470" s="6" t="s">
        <v>4</v>
      </c>
      <c r="F470" s="6" t="s">
        <v>3</v>
      </c>
      <c r="G470" s="6" t="s">
        <v>2</v>
      </c>
      <c r="H470" s="6" t="s">
        <v>2</v>
      </c>
      <c r="I470" s="6" t="s">
        <v>2</v>
      </c>
      <c r="J470" s="6" t="s">
        <v>5</v>
      </c>
    </row>
    <row r="471" spans="1:10" x14ac:dyDescent="0.3">
      <c r="A471" s="6" t="s">
        <v>4</v>
      </c>
      <c r="B471" s="6" t="s">
        <v>2</v>
      </c>
      <c r="C471" s="6" t="s">
        <v>2</v>
      </c>
      <c r="D471" s="6" t="s">
        <v>3</v>
      </c>
      <c r="E471" s="6" t="s">
        <v>2</v>
      </c>
      <c r="F471" s="6" t="s">
        <v>3</v>
      </c>
      <c r="G471" s="6" t="s">
        <v>2</v>
      </c>
      <c r="H471" s="6" t="s">
        <v>3</v>
      </c>
      <c r="I471" s="6" t="s">
        <v>4</v>
      </c>
      <c r="J471" s="6" t="s">
        <v>5</v>
      </c>
    </row>
    <row r="472" spans="1:10" x14ac:dyDescent="0.3">
      <c r="A472" s="6" t="s">
        <v>4</v>
      </c>
      <c r="B472" s="6" t="s">
        <v>2</v>
      </c>
      <c r="C472" s="6" t="s">
        <v>2</v>
      </c>
      <c r="D472" s="6" t="s">
        <v>3</v>
      </c>
      <c r="E472" s="6" t="s">
        <v>2</v>
      </c>
      <c r="F472" s="6" t="s">
        <v>3</v>
      </c>
      <c r="G472" s="6" t="s">
        <v>2</v>
      </c>
      <c r="H472" s="6" t="s">
        <v>4</v>
      </c>
      <c r="I472" s="6" t="s">
        <v>3</v>
      </c>
      <c r="J472" s="6" t="s">
        <v>5</v>
      </c>
    </row>
    <row r="473" spans="1:10" x14ac:dyDescent="0.3">
      <c r="A473" s="6" t="s">
        <v>4</v>
      </c>
      <c r="B473" s="6" t="s">
        <v>2</v>
      </c>
      <c r="C473" s="6" t="s">
        <v>2</v>
      </c>
      <c r="D473" s="6" t="s">
        <v>3</v>
      </c>
      <c r="E473" s="6" t="s">
        <v>2</v>
      </c>
      <c r="F473" s="6" t="s">
        <v>3</v>
      </c>
      <c r="G473" s="6" t="s">
        <v>3</v>
      </c>
      <c r="H473" s="6" t="s">
        <v>2</v>
      </c>
      <c r="I473" s="6" t="s">
        <v>4</v>
      </c>
      <c r="J473" s="6" t="s">
        <v>5</v>
      </c>
    </row>
    <row r="474" spans="1:10" x14ac:dyDescent="0.3">
      <c r="A474" s="6" t="s">
        <v>4</v>
      </c>
      <c r="B474" s="6" t="s">
        <v>2</v>
      </c>
      <c r="C474" s="6" t="s">
        <v>2</v>
      </c>
      <c r="D474" s="6" t="s">
        <v>3</v>
      </c>
      <c r="E474" s="6" t="s">
        <v>2</v>
      </c>
      <c r="F474" s="6" t="s">
        <v>3</v>
      </c>
      <c r="G474" s="6" t="s">
        <v>4</v>
      </c>
      <c r="H474" s="6" t="s">
        <v>2</v>
      </c>
      <c r="I474" s="6" t="s">
        <v>3</v>
      </c>
      <c r="J474" s="6" t="s">
        <v>5</v>
      </c>
    </row>
    <row r="475" spans="1:10" x14ac:dyDescent="0.3">
      <c r="A475" s="6" t="s">
        <v>4</v>
      </c>
      <c r="B475" s="6" t="s">
        <v>2</v>
      </c>
      <c r="C475" s="6" t="s">
        <v>2</v>
      </c>
      <c r="D475" s="6" t="s">
        <v>3</v>
      </c>
      <c r="E475" s="6" t="s">
        <v>2</v>
      </c>
      <c r="F475" s="6" t="s">
        <v>4</v>
      </c>
      <c r="G475" s="6" t="s">
        <v>2</v>
      </c>
      <c r="H475" s="6" t="s">
        <v>3</v>
      </c>
      <c r="I475" s="6" t="s">
        <v>3</v>
      </c>
      <c r="J475" s="6" t="s">
        <v>5</v>
      </c>
    </row>
    <row r="476" spans="1:10" x14ac:dyDescent="0.3">
      <c r="A476" s="6" t="s">
        <v>4</v>
      </c>
      <c r="B476" s="6" t="s">
        <v>2</v>
      </c>
      <c r="C476" s="6" t="s">
        <v>2</v>
      </c>
      <c r="D476" s="6" t="s">
        <v>3</v>
      </c>
      <c r="E476" s="6" t="s">
        <v>2</v>
      </c>
      <c r="F476" s="6" t="s">
        <v>4</v>
      </c>
      <c r="G476" s="6" t="s">
        <v>3</v>
      </c>
      <c r="H476" s="6" t="s">
        <v>2</v>
      </c>
      <c r="I476" s="6" t="s">
        <v>3</v>
      </c>
      <c r="J476" s="6" t="s">
        <v>5</v>
      </c>
    </row>
    <row r="477" spans="1:10" x14ac:dyDescent="0.3">
      <c r="A477" s="6" t="s">
        <v>4</v>
      </c>
      <c r="B477" s="6" t="s">
        <v>2</v>
      </c>
      <c r="C477" s="6" t="s">
        <v>2</v>
      </c>
      <c r="D477" s="6" t="s">
        <v>3</v>
      </c>
      <c r="E477" s="6" t="s">
        <v>3</v>
      </c>
      <c r="F477" s="6" t="s">
        <v>2</v>
      </c>
      <c r="G477" s="6" t="s">
        <v>3</v>
      </c>
      <c r="H477" s="6" t="s">
        <v>4</v>
      </c>
      <c r="I477" s="6" t="s">
        <v>2</v>
      </c>
      <c r="J477" s="6" t="s">
        <v>5</v>
      </c>
    </row>
    <row r="478" spans="1:10" x14ac:dyDescent="0.3">
      <c r="A478" s="6" t="s">
        <v>4</v>
      </c>
      <c r="B478" s="6" t="s">
        <v>2</v>
      </c>
      <c r="C478" s="6" t="s">
        <v>2</v>
      </c>
      <c r="D478" s="6" t="s">
        <v>3</v>
      </c>
      <c r="E478" s="6" t="s">
        <v>3</v>
      </c>
      <c r="F478" s="6" t="s">
        <v>2</v>
      </c>
      <c r="G478" s="6" t="s">
        <v>4</v>
      </c>
      <c r="H478" s="6" t="s">
        <v>3</v>
      </c>
      <c r="I478" s="6" t="s">
        <v>2</v>
      </c>
      <c r="J478" s="6" t="s">
        <v>5</v>
      </c>
    </row>
    <row r="479" spans="1:10" x14ac:dyDescent="0.3">
      <c r="A479" s="6" t="s">
        <v>4</v>
      </c>
      <c r="B479" s="6" t="s">
        <v>2</v>
      </c>
      <c r="C479" s="6" t="s">
        <v>2</v>
      </c>
      <c r="D479" s="6" t="s">
        <v>3</v>
      </c>
      <c r="E479" s="6" t="s">
        <v>4</v>
      </c>
      <c r="F479" s="6" t="s">
        <v>2</v>
      </c>
      <c r="G479" s="6" t="s">
        <v>3</v>
      </c>
      <c r="H479" s="6" t="s">
        <v>3</v>
      </c>
      <c r="I479" s="6" t="s">
        <v>2</v>
      </c>
      <c r="J479" s="6" t="s">
        <v>5</v>
      </c>
    </row>
    <row r="480" spans="1:10" x14ac:dyDescent="0.3">
      <c r="A480" s="6" t="s">
        <v>4</v>
      </c>
      <c r="B480" s="6" t="s">
        <v>2</v>
      </c>
      <c r="C480" s="6" t="s">
        <v>2</v>
      </c>
      <c r="D480" s="6" t="s">
        <v>4</v>
      </c>
      <c r="E480" s="6" t="s">
        <v>2</v>
      </c>
      <c r="F480" s="6" t="s">
        <v>3</v>
      </c>
      <c r="G480" s="6" t="s">
        <v>2</v>
      </c>
      <c r="H480" s="6" t="s">
        <v>3</v>
      </c>
      <c r="I480" s="6" t="s">
        <v>3</v>
      </c>
      <c r="J480" s="6" t="s">
        <v>5</v>
      </c>
    </row>
    <row r="481" spans="1:10" x14ac:dyDescent="0.3">
      <c r="A481" s="6" t="s">
        <v>4</v>
      </c>
      <c r="B481" s="6" t="s">
        <v>2</v>
      </c>
      <c r="C481" s="6" t="s">
        <v>2</v>
      </c>
      <c r="D481" s="6" t="s">
        <v>4</v>
      </c>
      <c r="E481" s="6" t="s">
        <v>2</v>
      </c>
      <c r="F481" s="6" t="s">
        <v>3</v>
      </c>
      <c r="G481" s="6" t="s">
        <v>3</v>
      </c>
      <c r="H481" s="6" t="s">
        <v>2</v>
      </c>
      <c r="I481" s="6" t="s">
        <v>3</v>
      </c>
      <c r="J481" s="6" t="s">
        <v>5</v>
      </c>
    </row>
    <row r="482" spans="1:10" x14ac:dyDescent="0.3">
      <c r="A482" s="6" t="s">
        <v>4</v>
      </c>
      <c r="B482" s="6" t="s">
        <v>2</v>
      </c>
      <c r="C482" s="6" t="s">
        <v>2</v>
      </c>
      <c r="D482" s="6" t="s">
        <v>4</v>
      </c>
      <c r="E482" s="6" t="s">
        <v>3</v>
      </c>
      <c r="F482" s="6" t="s">
        <v>2</v>
      </c>
      <c r="G482" s="6" t="s">
        <v>3</v>
      </c>
      <c r="H482" s="6" t="s">
        <v>3</v>
      </c>
      <c r="I482" s="6" t="s">
        <v>2</v>
      </c>
      <c r="J482" s="6" t="s">
        <v>5</v>
      </c>
    </row>
    <row r="483" spans="1:10" x14ac:dyDescent="0.3">
      <c r="A483" s="6" t="s">
        <v>4</v>
      </c>
      <c r="B483" s="6" t="s">
        <v>2</v>
      </c>
      <c r="C483" s="6" t="s">
        <v>3</v>
      </c>
      <c r="D483" s="6" t="s">
        <v>2</v>
      </c>
      <c r="E483" s="6" t="s">
        <v>2</v>
      </c>
      <c r="F483" s="6" t="s">
        <v>2</v>
      </c>
      <c r="G483" s="6" t="s">
        <v>3</v>
      </c>
      <c r="H483" s="6" t="s">
        <v>3</v>
      </c>
      <c r="I483" s="6" t="s">
        <v>4</v>
      </c>
      <c r="J483" s="6" t="s">
        <v>5</v>
      </c>
    </row>
    <row r="484" spans="1:10" x14ac:dyDescent="0.3">
      <c r="A484" s="6" t="s">
        <v>4</v>
      </c>
      <c r="B484" s="6" t="s">
        <v>2</v>
      </c>
      <c r="C484" s="6" t="s">
        <v>3</v>
      </c>
      <c r="D484" s="6" t="s">
        <v>2</v>
      </c>
      <c r="E484" s="6" t="s">
        <v>2</v>
      </c>
      <c r="F484" s="6" t="s">
        <v>2</v>
      </c>
      <c r="G484" s="6" t="s">
        <v>3</v>
      </c>
      <c r="H484" s="6" t="s">
        <v>4</v>
      </c>
      <c r="I484" s="6" t="s">
        <v>3</v>
      </c>
      <c r="J484" s="6" t="s">
        <v>5</v>
      </c>
    </row>
    <row r="485" spans="1:10" x14ac:dyDescent="0.3">
      <c r="A485" s="6" t="s">
        <v>4</v>
      </c>
      <c r="B485" s="6" t="s">
        <v>2</v>
      </c>
      <c r="C485" s="6" t="s">
        <v>3</v>
      </c>
      <c r="D485" s="6" t="s">
        <v>2</v>
      </c>
      <c r="E485" s="6" t="s">
        <v>2</v>
      </c>
      <c r="F485" s="6" t="s">
        <v>2</v>
      </c>
      <c r="G485" s="6" t="s">
        <v>4</v>
      </c>
      <c r="H485" s="6" t="s">
        <v>3</v>
      </c>
      <c r="I485" s="6" t="s">
        <v>3</v>
      </c>
      <c r="J485" s="6" t="s">
        <v>5</v>
      </c>
    </row>
    <row r="486" spans="1:10" x14ac:dyDescent="0.3">
      <c r="A486" s="6" t="s">
        <v>4</v>
      </c>
      <c r="B486" s="6" t="s">
        <v>2</v>
      </c>
      <c r="C486" s="6" t="s">
        <v>3</v>
      </c>
      <c r="D486" s="6" t="s">
        <v>2</v>
      </c>
      <c r="E486" s="6" t="s">
        <v>2</v>
      </c>
      <c r="F486" s="6" t="s">
        <v>3</v>
      </c>
      <c r="G486" s="6" t="s">
        <v>3</v>
      </c>
      <c r="H486" s="6" t="s">
        <v>2</v>
      </c>
      <c r="I486" s="6" t="s">
        <v>4</v>
      </c>
      <c r="J486" s="6" t="s">
        <v>5</v>
      </c>
    </row>
    <row r="487" spans="1:10" x14ac:dyDescent="0.3">
      <c r="A487" s="6" t="s">
        <v>4</v>
      </c>
      <c r="B487" s="6" t="s">
        <v>2</v>
      </c>
      <c r="C487" s="6" t="s">
        <v>3</v>
      </c>
      <c r="D487" s="6" t="s">
        <v>2</v>
      </c>
      <c r="E487" s="6" t="s">
        <v>2</v>
      </c>
      <c r="F487" s="6" t="s">
        <v>4</v>
      </c>
      <c r="G487" s="6" t="s">
        <v>3</v>
      </c>
      <c r="H487" s="6" t="s">
        <v>2</v>
      </c>
      <c r="I487" s="6" t="s">
        <v>3</v>
      </c>
      <c r="J487" s="6" t="s">
        <v>5</v>
      </c>
    </row>
    <row r="488" spans="1:10" x14ac:dyDescent="0.3">
      <c r="A488" s="6" t="s">
        <v>4</v>
      </c>
      <c r="B488" s="6" t="s">
        <v>2</v>
      </c>
      <c r="C488" s="6" t="s">
        <v>3</v>
      </c>
      <c r="D488" s="6" t="s">
        <v>3</v>
      </c>
      <c r="E488" s="6" t="s">
        <v>2</v>
      </c>
      <c r="F488" s="6" t="s">
        <v>2</v>
      </c>
      <c r="G488" s="6" t="s">
        <v>3</v>
      </c>
      <c r="H488" s="6" t="s">
        <v>2</v>
      </c>
      <c r="I488" s="6" t="s">
        <v>4</v>
      </c>
      <c r="J488" s="6" t="s">
        <v>5</v>
      </c>
    </row>
    <row r="489" spans="1:10" x14ac:dyDescent="0.3">
      <c r="A489" s="6" t="s">
        <v>4</v>
      </c>
      <c r="B489" s="6" t="s">
        <v>2</v>
      </c>
      <c r="C489" s="6" t="s">
        <v>3</v>
      </c>
      <c r="D489" s="6" t="s">
        <v>3</v>
      </c>
      <c r="E489" s="6" t="s">
        <v>2</v>
      </c>
      <c r="F489" s="6" t="s">
        <v>2</v>
      </c>
      <c r="G489" s="6" t="s">
        <v>4</v>
      </c>
      <c r="H489" s="6" t="s">
        <v>2</v>
      </c>
      <c r="I489" s="6" t="s">
        <v>3</v>
      </c>
      <c r="J489" s="6" t="s">
        <v>5</v>
      </c>
    </row>
    <row r="490" spans="1:10" x14ac:dyDescent="0.3">
      <c r="A490" s="6" t="s">
        <v>4</v>
      </c>
      <c r="B490" s="6" t="s">
        <v>2</v>
      </c>
      <c r="C490" s="6" t="s">
        <v>3</v>
      </c>
      <c r="D490" s="6" t="s">
        <v>3</v>
      </c>
      <c r="E490" s="6" t="s">
        <v>2</v>
      </c>
      <c r="F490" s="6" t="s">
        <v>3</v>
      </c>
      <c r="G490" s="6" t="s">
        <v>2</v>
      </c>
      <c r="H490" s="6" t="s">
        <v>2</v>
      </c>
      <c r="I490" s="6" t="s">
        <v>4</v>
      </c>
      <c r="J490" s="6" t="s">
        <v>5</v>
      </c>
    </row>
    <row r="491" spans="1:10" x14ac:dyDescent="0.3">
      <c r="A491" s="6" t="s">
        <v>4</v>
      </c>
      <c r="B491" s="6" t="s">
        <v>2</v>
      </c>
      <c r="C491" s="6" t="s">
        <v>3</v>
      </c>
      <c r="D491" s="6" t="s">
        <v>3</v>
      </c>
      <c r="E491" s="6" t="s">
        <v>2</v>
      </c>
      <c r="F491" s="6" t="s">
        <v>3</v>
      </c>
      <c r="G491" s="6" t="s">
        <v>4</v>
      </c>
      <c r="H491" s="6" t="s">
        <v>2</v>
      </c>
      <c r="I491" s="6" t="s">
        <v>2</v>
      </c>
      <c r="J491" s="6" t="s">
        <v>5</v>
      </c>
    </row>
    <row r="492" spans="1:10" x14ac:dyDescent="0.3">
      <c r="A492" s="6" t="s">
        <v>4</v>
      </c>
      <c r="B492" s="6" t="s">
        <v>2</v>
      </c>
      <c r="C492" s="6" t="s">
        <v>3</v>
      </c>
      <c r="D492" s="6" t="s">
        <v>3</v>
      </c>
      <c r="E492" s="6" t="s">
        <v>2</v>
      </c>
      <c r="F492" s="6" t="s">
        <v>4</v>
      </c>
      <c r="G492" s="6" t="s">
        <v>2</v>
      </c>
      <c r="H492" s="6" t="s">
        <v>2</v>
      </c>
      <c r="I492" s="6" t="s">
        <v>3</v>
      </c>
      <c r="J492" s="6" t="s">
        <v>5</v>
      </c>
    </row>
    <row r="493" spans="1:10" x14ac:dyDescent="0.3">
      <c r="A493" s="6" t="s">
        <v>4</v>
      </c>
      <c r="B493" s="6" t="s">
        <v>2</v>
      </c>
      <c r="C493" s="6" t="s">
        <v>3</v>
      </c>
      <c r="D493" s="6" t="s">
        <v>3</v>
      </c>
      <c r="E493" s="6" t="s">
        <v>2</v>
      </c>
      <c r="F493" s="6" t="s">
        <v>4</v>
      </c>
      <c r="G493" s="6" t="s">
        <v>3</v>
      </c>
      <c r="H493" s="6" t="s">
        <v>2</v>
      </c>
      <c r="I493" s="6" t="s">
        <v>2</v>
      </c>
      <c r="J493" s="6" t="s">
        <v>5</v>
      </c>
    </row>
    <row r="494" spans="1:10" x14ac:dyDescent="0.3">
      <c r="A494" s="6" t="s">
        <v>4</v>
      </c>
      <c r="B494" s="6" t="s">
        <v>2</v>
      </c>
      <c r="C494" s="6" t="s">
        <v>3</v>
      </c>
      <c r="D494" s="6" t="s">
        <v>3</v>
      </c>
      <c r="E494" s="6" t="s">
        <v>2</v>
      </c>
      <c r="F494" s="6" t="s">
        <v>4</v>
      </c>
      <c r="G494" s="6" t="s">
        <v>4</v>
      </c>
      <c r="H494" s="6" t="s">
        <v>2</v>
      </c>
      <c r="I494" s="6" t="s">
        <v>4</v>
      </c>
      <c r="J494" s="6" t="s">
        <v>5</v>
      </c>
    </row>
    <row r="495" spans="1:10" x14ac:dyDescent="0.3">
      <c r="A495" s="6" t="s">
        <v>4</v>
      </c>
      <c r="B495" s="6" t="s">
        <v>2</v>
      </c>
      <c r="C495" s="6" t="s">
        <v>4</v>
      </c>
      <c r="D495" s="6" t="s">
        <v>3</v>
      </c>
      <c r="E495" s="6" t="s">
        <v>2</v>
      </c>
      <c r="F495" s="6" t="s">
        <v>3</v>
      </c>
      <c r="G495" s="6" t="s">
        <v>2</v>
      </c>
      <c r="H495" s="6" t="s">
        <v>2</v>
      </c>
      <c r="I495" s="6" t="s">
        <v>3</v>
      </c>
      <c r="J495" s="6" t="s">
        <v>5</v>
      </c>
    </row>
    <row r="496" spans="1:10" x14ac:dyDescent="0.3">
      <c r="A496" s="6" t="s">
        <v>4</v>
      </c>
      <c r="B496" s="6" t="s">
        <v>2</v>
      </c>
      <c r="C496" s="6" t="s">
        <v>4</v>
      </c>
      <c r="D496" s="6" t="s">
        <v>3</v>
      </c>
      <c r="E496" s="6" t="s">
        <v>2</v>
      </c>
      <c r="F496" s="6" t="s">
        <v>3</v>
      </c>
      <c r="G496" s="6" t="s">
        <v>3</v>
      </c>
      <c r="H496" s="6" t="s">
        <v>2</v>
      </c>
      <c r="I496" s="6" t="s">
        <v>2</v>
      </c>
      <c r="J496" s="6" t="s">
        <v>5</v>
      </c>
    </row>
    <row r="497" spans="1:10" x14ac:dyDescent="0.3">
      <c r="A497" s="6" t="s">
        <v>4</v>
      </c>
      <c r="B497" s="6" t="s">
        <v>2</v>
      </c>
      <c r="C497" s="6" t="s">
        <v>4</v>
      </c>
      <c r="D497" s="6" t="s">
        <v>3</v>
      </c>
      <c r="E497" s="6" t="s">
        <v>2</v>
      </c>
      <c r="F497" s="6" t="s">
        <v>3</v>
      </c>
      <c r="G497" s="6" t="s">
        <v>4</v>
      </c>
      <c r="H497" s="6" t="s">
        <v>2</v>
      </c>
      <c r="I497" s="6" t="s">
        <v>4</v>
      </c>
      <c r="J497" s="6" t="s">
        <v>5</v>
      </c>
    </row>
    <row r="498" spans="1:10" x14ac:dyDescent="0.3">
      <c r="A498" s="6" t="s">
        <v>4</v>
      </c>
      <c r="B498" s="6" t="s">
        <v>2</v>
      </c>
      <c r="C498" s="6" t="s">
        <v>4</v>
      </c>
      <c r="D498" s="6" t="s">
        <v>3</v>
      </c>
      <c r="E498" s="6" t="s">
        <v>2</v>
      </c>
      <c r="F498" s="6" t="s">
        <v>4</v>
      </c>
      <c r="G498" s="6" t="s">
        <v>3</v>
      </c>
      <c r="H498" s="6" t="s">
        <v>2</v>
      </c>
      <c r="I498" s="6" t="s">
        <v>4</v>
      </c>
      <c r="J498" s="6" t="s">
        <v>5</v>
      </c>
    </row>
    <row r="499" spans="1:10" x14ac:dyDescent="0.3">
      <c r="A499" s="6" t="s">
        <v>4</v>
      </c>
      <c r="B499" s="6" t="s">
        <v>2</v>
      </c>
      <c r="C499" s="6" t="s">
        <v>4</v>
      </c>
      <c r="D499" s="6" t="s">
        <v>3</v>
      </c>
      <c r="E499" s="6" t="s">
        <v>2</v>
      </c>
      <c r="F499" s="6" t="s">
        <v>4</v>
      </c>
      <c r="G499" s="6" t="s">
        <v>4</v>
      </c>
      <c r="H499" s="6" t="s">
        <v>2</v>
      </c>
      <c r="I499" s="6" t="s">
        <v>3</v>
      </c>
      <c r="J499" s="6" t="s">
        <v>5</v>
      </c>
    </row>
    <row r="500" spans="1:10" x14ac:dyDescent="0.3">
      <c r="A500" s="6" t="s">
        <v>4</v>
      </c>
      <c r="B500" s="6" t="s">
        <v>2</v>
      </c>
      <c r="C500" s="6" t="s">
        <v>4</v>
      </c>
      <c r="D500" s="6" t="s">
        <v>4</v>
      </c>
      <c r="E500" s="6" t="s">
        <v>2</v>
      </c>
      <c r="F500" s="6" t="s">
        <v>3</v>
      </c>
      <c r="G500" s="6" t="s">
        <v>3</v>
      </c>
      <c r="H500" s="6" t="s">
        <v>2</v>
      </c>
      <c r="I500" s="6" t="s">
        <v>4</v>
      </c>
      <c r="J500" s="6" t="s">
        <v>5</v>
      </c>
    </row>
    <row r="501" spans="1:10" x14ac:dyDescent="0.3">
      <c r="A501" s="6" t="s">
        <v>4</v>
      </c>
      <c r="B501" s="6" t="s">
        <v>2</v>
      </c>
      <c r="C501" s="6" t="s">
        <v>4</v>
      </c>
      <c r="D501" s="6" t="s">
        <v>4</v>
      </c>
      <c r="E501" s="6" t="s">
        <v>2</v>
      </c>
      <c r="F501" s="6" t="s">
        <v>3</v>
      </c>
      <c r="G501" s="6" t="s">
        <v>4</v>
      </c>
      <c r="H501" s="6" t="s">
        <v>2</v>
      </c>
      <c r="I501" s="6" t="s">
        <v>3</v>
      </c>
      <c r="J501" s="6" t="s">
        <v>5</v>
      </c>
    </row>
    <row r="502" spans="1:10" x14ac:dyDescent="0.3">
      <c r="A502" s="6" t="s">
        <v>4</v>
      </c>
      <c r="B502" s="6" t="s">
        <v>2</v>
      </c>
      <c r="C502" s="6" t="s">
        <v>4</v>
      </c>
      <c r="D502" s="6" t="s">
        <v>4</v>
      </c>
      <c r="E502" s="6" t="s">
        <v>2</v>
      </c>
      <c r="F502" s="6" t="s">
        <v>4</v>
      </c>
      <c r="G502" s="6" t="s">
        <v>3</v>
      </c>
      <c r="H502" s="6" t="s">
        <v>2</v>
      </c>
      <c r="I502" s="6" t="s">
        <v>3</v>
      </c>
      <c r="J502" s="6" t="s">
        <v>5</v>
      </c>
    </row>
    <row r="503" spans="1:10" x14ac:dyDescent="0.3">
      <c r="A503" s="6" t="s">
        <v>4</v>
      </c>
      <c r="B503" s="6" t="s">
        <v>3</v>
      </c>
      <c r="C503" s="6" t="s">
        <v>2</v>
      </c>
      <c r="D503" s="6" t="s">
        <v>2</v>
      </c>
      <c r="E503" s="6" t="s">
        <v>2</v>
      </c>
      <c r="F503" s="6" t="s">
        <v>2</v>
      </c>
      <c r="G503" s="6" t="s">
        <v>3</v>
      </c>
      <c r="H503" s="6" t="s">
        <v>3</v>
      </c>
      <c r="I503" s="6" t="s">
        <v>4</v>
      </c>
      <c r="J503" s="6" t="s">
        <v>5</v>
      </c>
    </row>
    <row r="504" spans="1:10" x14ac:dyDescent="0.3">
      <c r="A504" s="6" t="s">
        <v>4</v>
      </c>
      <c r="B504" s="6" t="s">
        <v>3</v>
      </c>
      <c r="C504" s="6" t="s">
        <v>2</v>
      </c>
      <c r="D504" s="6" t="s">
        <v>2</v>
      </c>
      <c r="E504" s="6" t="s">
        <v>2</v>
      </c>
      <c r="F504" s="6" t="s">
        <v>2</v>
      </c>
      <c r="G504" s="6" t="s">
        <v>3</v>
      </c>
      <c r="H504" s="6" t="s">
        <v>4</v>
      </c>
      <c r="I504" s="6" t="s">
        <v>3</v>
      </c>
      <c r="J504" s="6" t="s">
        <v>5</v>
      </c>
    </row>
    <row r="505" spans="1:10" x14ac:dyDescent="0.3">
      <c r="A505" s="6" t="s">
        <v>4</v>
      </c>
      <c r="B505" s="6" t="s">
        <v>3</v>
      </c>
      <c r="C505" s="6" t="s">
        <v>2</v>
      </c>
      <c r="D505" s="6" t="s">
        <v>2</v>
      </c>
      <c r="E505" s="6" t="s">
        <v>2</v>
      </c>
      <c r="F505" s="6" t="s">
        <v>2</v>
      </c>
      <c r="G505" s="6" t="s">
        <v>4</v>
      </c>
      <c r="H505" s="6" t="s">
        <v>3</v>
      </c>
      <c r="I505" s="6" t="s">
        <v>3</v>
      </c>
      <c r="J505" s="6" t="s">
        <v>5</v>
      </c>
    </row>
    <row r="506" spans="1:10" x14ac:dyDescent="0.3">
      <c r="A506" s="6" t="s">
        <v>4</v>
      </c>
      <c r="B506" s="6" t="s">
        <v>3</v>
      </c>
      <c r="C506" s="6" t="s">
        <v>2</v>
      </c>
      <c r="D506" s="6" t="s">
        <v>2</v>
      </c>
      <c r="E506" s="6" t="s">
        <v>2</v>
      </c>
      <c r="F506" s="6" t="s">
        <v>3</v>
      </c>
      <c r="G506" s="6" t="s">
        <v>2</v>
      </c>
      <c r="H506" s="6" t="s">
        <v>3</v>
      </c>
      <c r="I506" s="6" t="s">
        <v>4</v>
      </c>
      <c r="J506" s="6" t="s">
        <v>5</v>
      </c>
    </row>
    <row r="507" spans="1:10" x14ac:dyDescent="0.3">
      <c r="A507" s="6" t="s">
        <v>4</v>
      </c>
      <c r="B507" s="6" t="s">
        <v>3</v>
      </c>
      <c r="C507" s="6" t="s">
        <v>2</v>
      </c>
      <c r="D507" s="6" t="s">
        <v>2</v>
      </c>
      <c r="E507" s="6" t="s">
        <v>2</v>
      </c>
      <c r="F507" s="6" t="s">
        <v>3</v>
      </c>
      <c r="G507" s="6" t="s">
        <v>2</v>
      </c>
      <c r="H507" s="6" t="s">
        <v>4</v>
      </c>
      <c r="I507" s="6" t="s">
        <v>3</v>
      </c>
      <c r="J507" s="6" t="s">
        <v>5</v>
      </c>
    </row>
    <row r="508" spans="1:10" x14ac:dyDescent="0.3">
      <c r="A508" s="6" t="s">
        <v>4</v>
      </c>
      <c r="B508" s="6" t="s">
        <v>3</v>
      </c>
      <c r="C508" s="6" t="s">
        <v>2</v>
      </c>
      <c r="D508" s="6" t="s">
        <v>2</v>
      </c>
      <c r="E508" s="6" t="s">
        <v>2</v>
      </c>
      <c r="F508" s="6" t="s">
        <v>4</v>
      </c>
      <c r="G508" s="6" t="s">
        <v>2</v>
      </c>
      <c r="H508" s="6" t="s">
        <v>3</v>
      </c>
      <c r="I508" s="6" t="s">
        <v>3</v>
      </c>
      <c r="J508" s="6" t="s">
        <v>5</v>
      </c>
    </row>
    <row r="509" spans="1:10" x14ac:dyDescent="0.3">
      <c r="A509" s="6" t="s">
        <v>4</v>
      </c>
      <c r="B509" s="6" t="s">
        <v>3</v>
      </c>
      <c r="C509" s="6" t="s">
        <v>2</v>
      </c>
      <c r="D509" s="6" t="s">
        <v>2</v>
      </c>
      <c r="E509" s="6" t="s">
        <v>3</v>
      </c>
      <c r="F509" s="6" t="s">
        <v>2</v>
      </c>
      <c r="G509" s="6" t="s">
        <v>3</v>
      </c>
      <c r="H509" s="6" t="s">
        <v>4</v>
      </c>
      <c r="I509" s="6" t="s">
        <v>2</v>
      </c>
      <c r="J509" s="6" t="s">
        <v>5</v>
      </c>
    </row>
    <row r="510" spans="1:10" x14ac:dyDescent="0.3">
      <c r="A510" s="6" t="s">
        <v>4</v>
      </c>
      <c r="B510" s="6" t="s">
        <v>3</v>
      </c>
      <c r="C510" s="6" t="s">
        <v>2</v>
      </c>
      <c r="D510" s="6" t="s">
        <v>2</v>
      </c>
      <c r="E510" s="6" t="s">
        <v>4</v>
      </c>
      <c r="F510" s="6" t="s">
        <v>2</v>
      </c>
      <c r="G510" s="6" t="s">
        <v>3</v>
      </c>
      <c r="H510" s="6" t="s">
        <v>3</v>
      </c>
      <c r="I510" s="6" t="s">
        <v>2</v>
      </c>
      <c r="J510" s="6" t="s">
        <v>5</v>
      </c>
    </row>
    <row r="511" spans="1:10" x14ac:dyDescent="0.3">
      <c r="A511" s="6" t="s">
        <v>4</v>
      </c>
      <c r="B511" s="6" t="s">
        <v>3</v>
      </c>
      <c r="C511" s="6" t="s">
        <v>2</v>
      </c>
      <c r="D511" s="6" t="s">
        <v>3</v>
      </c>
      <c r="E511" s="6" t="s">
        <v>2</v>
      </c>
      <c r="F511" s="6" t="s">
        <v>2</v>
      </c>
      <c r="G511" s="6" t="s">
        <v>2</v>
      </c>
      <c r="H511" s="6" t="s">
        <v>3</v>
      </c>
      <c r="I511" s="6" t="s">
        <v>4</v>
      </c>
      <c r="J511" s="6" t="s">
        <v>5</v>
      </c>
    </row>
    <row r="512" spans="1:10" x14ac:dyDescent="0.3">
      <c r="A512" s="6" t="s">
        <v>4</v>
      </c>
      <c r="B512" s="6" t="s">
        <v>3</v>
      </c>
      <c r="C512" s="6" t="s">
        <v>2</v>
      </c>
      <c r="D512" s="6" t="s">
        <v>3</v>
      </c>
      <c r="E512" s="6" t="s">
        <v>2</v>
      </c>
      <c r="F512" s="6" t="s">
        <v>2</v>
      </c>
      <c r="G512" s="6" t="s">
        <v>2</v>
      </c>
      <c r="H512" s="6" t="s">
        <v>4</v>
      </c>
      <c r="I512" s="6" t="s">
        <v>3</v>
      </c>
      <c r="J512" s="6" t="s">
        <v>5</v>
      </c>
    </row>
    <row r="513" spans="1:10" x14ac:dyDescent="0.3">
      <c r="A513" s="6" t="s">
        <v>4</v>
      </c>
      <c r="B513" s="6" t="s">
        <v>3</v>
      </c>
      <c r="C513" s="6" t="s">
        <v>2</v>
      </c>
      <c r="D513" s="6" t="s">
        <v>3</v>
      </c>
      <c r="E513" s="6" t="s">
        <v>2</v>
      </c>
      <c r="F513" s="6" t="s">
        <v>2</v>
      </c>
      <c r="G513" s="6" t="s">
        <v>3</v>
      </c>
      <c r="H513" s="6" t="s">
        <v>4</v>
      </c>
      <c r="I513" s="6" t="s">
        <v>2</v>
      </c>
      <c r="J513" s="6" t="s">
        <v>5</v>
      </c>
    </row>
    <row r="514" spans="1:10" x14ac:dyDescent="0.3">
      <c r="A514" s="6" t="s">
        <v>4</v>
      </c>
      <c r="B514" s="6" t="s">
        <v>3</v>
      </c>
      <c r="C514" s="6" t="s">
        <v>2</v>
      </c>
      <c r="D514" s="6" t="s">
        <v>3</v>
      </c>
      <c r="E514" s="6" t="s">
        <v>2</v>
      </c>
      <c r="F514" s="6" t="s">
        <v>2</v>
      </c>
      <c r="G514" s="6" t="s">
        <v>4</v>
      </c>
      <c r="H514" s="6" t="s">
        <v>3</v>
      </c>
      <c r="I514" s="6" t="s">
        <v>2</v>
      </c>
      <c r="J514" s="6" t="s">
        <v>5</v>
      </c>
    </row>
    <row r="515" spans="1:10" x14ac:dyDescent="0.3">
      <c r="A515" s="6" t="s">
        <v>4</v>
      </c>
      <c r="B515" s="6" t="s">
        <v>3</v>
      </c>
      <c r="C515" s="6" t="s">
        <v>2</v>
      </c>
      <c r="D515" s="6" t="s">
        <v>3</v>
      </c>
      <c r="E515" s="6" t="s">
        <v>2</v>
      </c>
      <c r="F515" s="6" t="s">
        <v>3</v>
      </c>
      <c r="G515" s="6" t="s">
        <v>2</v>
      </c>
      <c r="H515" s="6" t="s">
        <v>2</v>
      </c>
      <c r="I515" s="6" t="s">
        <v>4</v>
      </c>
      <c r="J515" s="6" t="s">
        <v>5</v>
      </c>
    </row>
    <row r="516" spans="1:10" x14ac:dyDescent="0.3">
      <c r="A516" s="6" t="s">
        <v>4</v>
      </c>
      <c r="B516" s="6" t="s">
        <v>3</v>
      </c>
      <c r="C516" s="6" t="s">
        <v>2</v>
      </c>
      <c r="D516" s="6" t="s">
        <v>3</v>
      </c>
      <c r="E516" s="6" t="s">
        <v>2</v>
      </c>
      <c r="F516" s="6" t="s">
        <v>3</v>
      </c>
      <c r="G516" s="6" t="s">
        <v>2</v>
      </c>
      <c r="H516" s="6" t="s">
        <v>4</v>
      </c>
      <c r="I516" s="6" t="s">
        <v>2</v>
      </c>
      <c r="J516" s="6" t="s">
        <v>5</v>
      </c>
    </row>
    <row r="517" spans="1:10" x14ac:dyDescent="0.3">
      <c r="A517" s="6" t="s">
        <v>4</v>
      </c>
      <c r="B517" s="6" t="s">
        <v>3</v>
      </c>
      <c r="C517" s="6" t="s">
        <v>2</v>
      </c>
      <c r="D517" s="6" t="s">
        <v>3</v>
      </c>
      <c r="E517" s="6" t="s">
        <v>2</v>
      </c>
      <c r="F517" s="6" t="s">
        <v>4</v>
      </c>
      <c r="G517" s="6" t="s">
        <v>2</v>
      </c>
      <c r="H517" s="6" t="s">
        <v>2</v>
      </c>
      <c r="I517" s="6" t="s">
        <v>3</v>
      </c>
      <c r="J517" s="6" t="s">
        <v>5</v>
      </c>
    </row>
    <row r="518" spans="1:10" x14ac:dyDescent="0.3">
      <c r="A518" s="6" t="s">
        <v>4</v>
      </c>
      <c r="B518" s="6" t="s">
        <v>3</v>
      </c>
      <c r="C518" s="6" t="s">
        <v>2</v>
      </c>
      <c r="D518" s="6" t="s">
        <v>3</v>
      </c>
      <c r="E518" s="6" t="s">
        <v>2</v>
      </c>
      <c r="F518" s="6" t="s">
        <v>4</v>
      </c>
      <c r="G518" s="6" t="s">
        <v>2</v>
      </c>
      <c r="H518" s="6" t="s">
        <v>3</v>
      </c>
      <c r="I518" s="6" t="s">
        <v>2</v>
      </c>
      <c r="J518" s="6" t="s">
        <v>5</v>
      </c>
    </row>
    <row r="519" spans="1:10" x14ac:dyDescent="0.3">
      <c r="A519" s="6" t="s">
        <v>4</v>
      </c>
      <c r="B519" s="6" t="s">
        <v>3</v>
      </c>
      <c r="C519" s="6" t="s">
        <v>2</v>
      </c>
      <c r="D519" s="6" t="s">
        <v>3</v>
      </c>
      <c r="E519" s="6" t="s">
        <v>2</v>
      </c>
      <c r="F519" s="6" t="s">
        <v>4</v>
      </c>
      <c r="G519" s="6" t="s">
        <v>2</v>
      </c>
      <c r="H519" s="6" t="s">
        <v>4</v>
      </c>
      <c r="I519" s="6" t="s">
        <v>4</v>
      </c>
      <c r="J519" s="6" t="s">
        <v>5</v>
      </c>
    </row>
    <row r="520" spans="1:10" x14ac:dyDescent="0.3">
      <c r="A520" s="6" t="s">
        <v>4</v>
      </c>
      <c r="B520" s="6" t="s">
        <v>3</v>
      </c>
      <c r="C520" s="6" t="s">
        <v>2</v>
      </c>
      <c r="D520" s="6" t="s">
        <v>3</v>
      </c>
      <c r="E520" s="6" t="s">
        <v>3</v>
      </c>
      <c r="F520" s="6" t="s">
        <v>2</v>
      </c>
      <c r="G520" s="6" t="s">
        <v>2</v>
      </c>
      <c r="H520" s="6" t="s">
        <v>4</v>
      </c>
      <c r="I520" s="6" t="s">
        <v>2</v>
      </c>
      <c r="J520" s="6" t="s">
        <v>5</v>
      </c>
    </row>
    <row r="521" spans="1:10" x14ac:dyDescent="0.3">
      <c r="A521" s="6" t="s">
        <v>4</v>
      </c>
      <c r="B521" s="6" t="s">
        <v>3</v>
      </c>
      <c r="C521" s="6" t="s">
        <v>2</v>
      </c>
      <c r="D521" s="6" t="s">
        <v>3</v>
      </c>
      <c r="E521" s="6" t="s">
        <v>3</v>
      </c>
      <c r="F521" s="6" t="s">
        <v>2</v>
      </c>
      <c r="G521" s="6" t="s">
        <v>4</v>
      </c>
      <c r="H521" s="6" t="s">
        <v>2</v>
      </c>
      <c r="I521" s="6" t="s">
        <v>2</v>
      </c>
      <c r="J521" s="6" t="s">
        <v>5</v>
      </c>
    </row>
    <row r="522" spans="1:10" x14ac:dyDescent="0.3">
      <c r="A522" s="6" t="s">
        <v>4</v>
      </c>
      <c r="B522" s="6" t="s">
        <v>3</v>
      </c>
      <c r="C522" s="6" t="s">
        <v>2</v>
      </c>
      <c r="D522" s="6" t="s">
        <v>3</v>
      </c>
      <c r="E522" s="6" t="s">
        <v>3</v>
      </c>
      <c r="F522" s="6" t="s">
        <v>4</v>
      </c>
      <c r="G522" s="6" t="s">
        <v>2</v>
      </c>
      <c r="H522" s="6" t="s">
        <v>2</v>
      </c>
      <c r="I522" s="6" t="s">
        <v>2</v>
      </c>
      <c r="J522" s="6" t="s">
        <v>5</v>
      </c>
    </row>
    <row r="523" spans="1:10" x14ac:dyDescent="0.3">
      <c r="A523" s="6" t="s">
        <v>4</v>
      </c>
      <c r="B523" s="6" t="s">
        <v>3</v>
      </c>
      <c r="C523" s="6" t="s">
        <v>2</v>
      </c>
      <c r="D523" s="6" t="s">
        <v>3</v>
      </c>
      <c r="E523" s="6" t="s">
        <v>4</v>
      </c>
      <c r="F523" s="6" t="s">
        <v>2</v>
      </c>
      <c r="G523" s="6" t="s">
        <v>2</v>
      </c>
      <c r="H523" s="6" t="s">
        <v>3</v>
      </c>
      <c r="I523" s="6" t="s">
        <v>2</v>
      </c>
      <c r="J523" s="6" t="s">
        <v>5</v>
      </c>
    </row>
    <row r="524" spans="1:10" x14ac:dyDescent="0.3">
      <c r="A524" s="6" t="s">
        <v>4</v>
      </c>
      <c r="B524" s="6" t="s">
        <v>3</v>
      </c>
      <c r="C524" s="6" t="s">
        <v>2</v>
      </c>
      <c r="D524" s="6" t="s">
        <v>3</v>
      </c>
      <c r="E524" s="6" t="s">
        <v>4</v>
      </c>
      <c r="F524" s="6" t="s">
        <v>2</v>
      </c>
      <c r="G524" s="6" t="s">
        <v>3</v>
      </c>
      <c r="H524" s="6" t="s">
        <v>2</v>
      </c>
      <c r="I524" s="6" t="s">
        <v>2</v>
      </c>
      <c r="J524" s="6" t="s">
        <v>5</v>
      </c>
    </row>
    <row r="525" spans="1:10" x14ac:dyDescent="0.3">
      <c r="A525" s="6" t="s">
        <v>4</v>
      </c>
      <c r="B525" s="6" t="s">
        <v>3</v>
      </c>
      <c r="C525" s="6" t="s">
        <v>2</v>
      </c>
      <c r="D525" s="6" t="s">
        <v>3</v>
      </c>
      <c r="E525" s="6" t="s">
        <v>4</v>
      </c>
      <c r="F525" s="6" t="s">
        <v>2</v>
      </c>
      <c r="G525" s="6" t="s">
        <v>4</v>
      </c>
      <c r="H525" s="6" t="s">
        <v>4</v>
      </c>
      <c r="I525" s="6" t="s">
        <v>2</v>
      </c>
      <c r="J525" s="6" t="s">
        <v>5</v>
      </c>
    </row>
    <row r="526" spans="1:10" x14ac:dyDescent="0.3">
      <c r="A526" s="6" t="s">
        <v>4</v>
      </c>
      <c r="B526" s="6" t="s">
        <v>3</v>
      </c>
      <c r="C526" s="6" t="s">
        <v>2</v>
      </c>
      <c r="D526" s="6" t="s">
        <v>3</v>
      </c>
      <c r="E526" s="6" t="s">
        <v>4</v>
      </c>
      <c r="F526" s="6" t="s">
        <v>3</v>
      </c>
      <c r="G526" s="6" t="s">
        <v>2</v>
      </c>
      <c r="H526" s="6" t="s">
        <v>2</v>
      </c>
      <c r="I526" s="6" t="s">
        <v>2</v>
      </c>
      <c r="J526" s="6" t="s">
        <v>5</v>
      </c>
    </row>
    <row r="527" spans="1:10" x14ac:dyDescent="0.3">
      <c r="A527" s="6" t="s">
        <v>4</v>
      </c>
      <c r="B527" s="6" t="s">
        <v>3</v>
      </c>
      <c r="C527" s="6" t="s">
        <v>2</v>
      </c>
      <c r="D527" s="6" t="s">
        <v>4</v>
      </c>
      <c r="E527" s="6" t="s">
        <v>2</v>
      </c>
      <c r="F527" s="6" t="s">
        <v>2</v>
      </c>
      <c r="G527" s="6" t="s">
        <v>2</v>
      </c>
      <c r="H527" s="6" t="s">
        <v>3</v>
      </c>
      <c r="I527" s="6" t="s">
        <v>3</v>
      </c>
      <c r="J527" s="6" t="s">
        <v>5</v>
      </c>
    </row>
    <row r="528" spans="1:10" x14ac:dyDescent="0.3">
      <c r="A528" s="6" t="s">
        <v>4</v>
      </c>
      <c r="B528" s="6" t="s">
        <v>3</v>
      </c>
      <c r="C528" s="6" t="s">
        <v>2</v>
      </c>
      <c r="D528" s="6" t="s">
        <v>4</v>
      </c>
      <c r="E528" s="6" t="s">
        <v>2</v>
      </c>
      <c r="F528" s="6" t="s">
        <v>2</v>
      </c>
      <c r="G528" s="6" t="s">
        <v>3</v>
      </c>
      <c r="H528" s="6" t="s">
        <v>3</v>
      </c>
      <c r="I528" s="6" t="s">
        <v>2</v>
      </c>
      <c r="J528" s="6" t="s">
        <v>5</v>
      </c>
    </row>
    <row r="529" spans="1:10" x14ac:dyDescent="0.3">
      <c r="A529" s="6" t="s">
        <v>4</v>
      </c>
      <c r="B529" s="6" t="s">
        <v>3</v>
      </c>
      <c r="C529" s="6" t="s">
        <v>2</v>
      </c>
      <c r="D529" s="6" t="s">
        <v>4</v>
      </c>
      <c r="E529" s="6" t="s">
        <v>2</v>
      </c>
      <c r="F529" s="6" t="s">
        <v>3</v>
      </c>
      <c r="G529" s="6" t="s">
        <v>2</v>
      </c>
      <c r="H529" s="6" t="s">
        <v>2</v>
      </c>
      <c r="I529" s="6" t="s">
        <v>3</v>
      </c>
      <c r="J529" s="6" t="s">
        <v>5</v>
      </c>
    </row>
    <row r="530" spans="1:10" x14ac:dyDescent="0.3">
      <c r="A530" s="6" t="s">
        <v>4</v>
      </c>
      <c r="B530" s="6" t="s">
        <v>3</v>
      </c>
      <c r="C530" s="6" t="s">
        <v>2</v>
      </c>
      <c r="D530" s="6" t="s">
        <v>4</v>
      </c>
      <c r="E530" s="6" t="s">
        <v>2</v>
      </c>
      <c r="F530" s="6" t="s">
        <v>3</v>
      </c>
      <c r="G530" s="6" t="s">
        <v>2</v>
      </c>
      <c r="H530" s="6" t="s">
        <v>3</v>
      </c>
      <c r="I530" s="6" t="s">
        <v>2</v>
      </c>
      <c r="J530" s="6" t="s">
        <v>5</v>
      </c>
    </row>
    <row r="531" spans="1:10" x14ac:dyDescent="0.3">
      <c r="A531" s="6" t="s">
        <v>4</v>
      </c>
      <c r="B531" s="6" t="s">
        <v>3</v>
      </c>
      <c r="C531" s="6" t="s">
        <v>2</v>
      </c>
      <c r="D531" s="6" t="s">
        <v>4</v>
      </c>
      <c r="E531" s="6" t="s">
        <v>2</v>
      </c>
      <c r="F531" s="6" t="s">
        <v>3</v>
      </c>
      <c r="G531" s="6" t="s">
        <v>2</v>
      </c>
      <c r="H531" s="6" t="s">
        <v>4</v>
      </c>
      <c r="I531" s="6" t="s">
        <v>4</v>
      </c>
      <c r="J531" s="6" t="s">
        <v>5</v>
      </c>
    </row>
    <row r="532" spans="1:10" x14ac:dyDescent="0.3">
      <c r="A532" s="6" t="s">
        <v>4</v>
      </c>
      <c r="B532" s="6" t="s">
        <v>3</v>
      </c>
      <c r="C532" s="6" t="s">
        <v>2</v>
      </c>
      <c r="D532" s="6" t="s">
        <v>4</v>
      </c>
      <c r="E532" s="6" t="s">
        <v>2</v>
      </c>
      <c r="F532" s="6" t="s">
        <v>4</v>
      </c>
      <c r="G532" s="6" t="s">
        <v>2</v>
      </c>
      <c r="H532" s="6" t="s">
        <v>3</v>
      </c>
      <c r="I532" s="6" t="s">
        <v>4</v>
      </c>
      <c r="J532" s="6" t="s">
        <v>5</v>
      </c>
    </row>
    <row r="533" spans="1:10" x14ac:dyDescent="0.3">
      <c r="A533" s="6" t="s">
        <v>4</v>
      </c>
      <c r="B533" s="6" t="s">
        <v>3</v>
      </c>
      <c r="C533" s="6" t="s">
        <v>2</v>
      </c>
      <c r="D533" s="6" t="s">
        <v>4</v>
      </c>
      <c r="E533" s="6" t="s">
        <v>2</v>
      </c>
      <c r="F533" s="6" t="s">
        <v>4</v>
      </c>
      <c r="G533" s="6" t="s">
        <v>2</v>
      </c>
      <c r="H533" s="6" t="s">
        <v>4</v>
      </c>
      <c r="I533" s="6" t="s">
        <v>3</v>
      </c>
      <c r="J533" s="6" t="s">
        <v>5</v>
      </c>
    </row>
    <row r="534" spans="1:10" x14ac:dyDescent="0.3">
      <c r="A534" s="6" t="s">
        <v>4</v>
      </c>
      <c r="B534" s="6" t="s">
        <v>3</v>
      </c>
      <c r="C534" s="6" t="s">
        <v>2</v>
      </c>
      <c r="D534" s="6" t="s">
        <v>4</v>
      </c>
      <c r="E534" s="6" t="s">
        <v>3</v>
      </c>
      <c r="F534" s="6" t="s">
        <v>2</v>
      </c>
      <c r="G534" s="6" t="s">
        <v>3</v>
      </c>
      <c r="H534" s="6" t="s">
        <v>2</v>
      </c>
      <c r="I534" s="6" t="s">
        <v>2</v>
      </c>
      <c r="J534" s="6" t="s">
        <v>5</v>
      </c>
    </row>
    <row r="535" spans="1:10" x14ac:dyDescent="0.3">
      <c r="A535" s="6" t="s">
        <v>4</v>
      </c>
      <c r="B535" s="6" t="s">
        <v>3</v>
      </c>
      <c r="C535" s="6" t="s">
        <v>2</v>
      </c>
      <c r="D535" s="6" t="s">
        <v>4</v>
      </c>
      <c r="E535" s="6" t="s">
        <v>3</v>
      </c>
      <c r="F535" s="6" t="s">
        <v>2</v>
      </c>
      <c r="G535" s="6" t="s">
        <v>4</v>
      </c>
      <c r="H535" s="6" t="s">
        <v>4</v>
      </c>
      <c r="I535" s="6" t="s">
        <v>2</v>
      </c>
      <c r="J535" s="6" t="s">
        <v>5</v>
      </c>
    </row>
    <row r="536" spans="1:10" x14ac:dyDescent="0.3">
      <c r="A536" s="6" t="s">
        <v>4</v>
      </c>
      <c r="B536" s="6" t="s">
        <v>3</v>
      </c>
      <c r="C536" s="6" t="s">
        <v>2</v>
      </c>
      <c r="D536" s="6" t="s">
        <v>4</v>
      </c>
      <c r="E536" s="6" t="s">
        <v>3</v>
      </c>
      <c r="F536" s="6" t="s">
        <v>3</v>
      </c>
      <c r="G536" s="6" t="s">
        <v>2</v>
      </c>
      <c r="H536" s="6" t="s">
        <v>2</v>
      </c>
      <c r="I536" s="6" t="s">
        <v>2</v>
      </c>
      <c r="J536" s="6" t="s">
        <v>5</v>
      </c>
    </row>
    <row r="537" spans="1:10" x14ac:dyDescent="0.3">
      <c r="A537" s="6" t="s">
        <v>4</v>
      </c>
      <c r="B537" s="6" t="s">
        <v>3</v>
      </c>
      <c r="C537" s="6" t="s">
        <v>2</v>
      </c>
      <c r="D537" s="6" t="s">
        <v>4</v>
      </c>
      <c r="E537" s="6" t="s">
        <v>4</v>
      </c>
      <c r="F537" s="6" t="s">
        <v>2</v>
      </c>
      <c r="G537" s="6" t="s">
        <v>3</v>
      </c>
      <c r="H537" s="6" t="s">
        <v>4</v>
      </c>
      <c r="I537" s="6" t="s">
        <v>2</v>
      </c>
      <c r="J537" s="6" t="s">
        <v>5</v>
      </c>
    </row>
    <row r="538" spans="1:10" x14ac:dyDescent="0.3">
      <c r="A538" s="6" t="s">
        <v>4</v>
      </c>
      <c r="B538" s="6" t="s">
        <v>3</v>
      </c>
      <c r="C538" s="6" t="s">
        <v>2</v>
      </c>
      <c r="D538" s="6" t="s">
        <v>4</v>
      </c>
      <c r="E538" s="6" t="s">
        <v>4</v>
      </c>
      <c r="F538" s="6" t="s">
        <v>2</v>
      </c>
      <c r="G538" s="6" t="s">
        <v>4</v>
      </c>
      <c r="H538" s="6" t="s">
        <v>3</v>
      </c>
      <c r="I538" s="6" t="s">
        <v>2</v>
      </c>
      <c r="J538" s="6" t="s">
        <v>5</v>
      </c>
    </row>
    <row r="539" spans="1:10" x14ac:dyDescent="0.3">
      <c r="A539" s="6" t="s">
        <v>4</v>
      </c>
      <c r="B539" s="6" t="s">
        <v>3</v>
      </c>
      <c r="C539" s="6" t="s">
        <v>3</v>
      </c>
      <c r="D539" s="6" t="s">
        <v>2</v>
      </c>
      <c r="E539" s="6" t="s">
        <v>2</v>
      </c>
      <c r="F539" s="6" t="s">
        <v>2</v>
      </c>
      <c r="G539" s="6" t="s">
        <v>2</v>
      </c>
      <c r="H539" s="6" t="s">
        <v>3</v>
      </c>
      <c r="I539" s="6" t="s">
        <v>4</v>
      </c>
      <c r="J539" s="6" t="s">
        <v>5</v>
      </c>
    </row>
    <row r="540" spans="1:10" x14ac:dyDescent="0.3">
      <c r="A540" s="6" t="s">
        <v>4</v>
      </c>
      <c r="B540" s="6" t="s">
        <v>3</v>
      </c>
      <c r="C540" s="6" t="s">
        <v>3</v>
      </c>
      <c r="D540" s="6" t="s">
        <v>2</v>
      </c>
      <c r="E540" s="6" t="s">
        <v>2</v>
      </c>
      <c r="F540" s="6" t="s">
        <v>2</v>
      </c>
      <c r="G540" s="6" t="s">
        <v>2</v>
      </c>
      <c r="H540" s="6" t="s">
        <v>4</v>
      </c>
      <c r="I540" s="6" t="s">
        <v>3</v>
      </c>
      <c r="J540" s="6" t="s">
        <v>5</v>
      </c>
    </row>
    <row r="541" spans="1:10" x14ac:dyDescent="0.3">
      <c r="A541" s="6" t="s">
        <v>4</v>
      </c>
      <c r="B541" s="6" t="s">
        <v>3</v>
      </c>
      <c r="C541" s="6" t="s">
        <v>3</v>
      </c>
      <c r="D541" s="6" t="s">
        <v>2</v>
      </c>
      <c r="E541" s="6" t="s">
        <v>2</v>
      </c>
      <c r="F541" s="6" t="s">
        <v>2</v>
      </c>
      <c r="G541" s="6" t="s">
        <v>3</v>
      </c>
      <c r="H541" s="6" t="s">
        <v>2</v>
      </c>
      <c r="I541" s="6" t="s">
        <v>4</v>
      </c>
      <c r="J541" s="6" t="s">
        <v>5</v>
      </c>
    </row>
    <row r="542" spans="1:10" x14ac:dyDescent="0.3">
      <c r="A542" s="6" t="s">
        <v>4</v>
      </c>
      <c r="B542" s="6" t="s">
        <v>3</v>
      </c>
      <c r="C542" s="6" t="s">
        <v>3</v>
      </c>
      <c r="D542" s="6" t="s">
        <v>2</v>
      </c>
      <c r="E542" s="6" t="s">
        <v>2</v>
      </c>
      <c r="F542" s="6" t="s">
        <v>2</v>
      </c>
      <c r="G542" s="6" t="s">
        <v>3</v>
      </c>
      <c r="H542" s="6" t="s">
        <v>4</v>
      </c>
      <c r="I542" s="6" t="s">
        <v>2</v>
      </c>
      <c r="J542" s="6" t="s">
        <v>5</v>
      </c>
    </row>
    <row r="543" spans="1:10" x14ac:dyDescent="0.3">
      <c r="A543" s="6" t="s">
        <v>4</v>
      </c>
      <c r="B543" s="6" t="s">
        <v>3</v>
      </c>
      <c r="C543" s="6" t="s">
        <v>3</v>
      </c>
      <c r="D543" s="6" t="s">
        <v>2</v>
      </c>
      <c r="E543" s="6" t="s">
        <v>2</v>
      </c>
      <c r="F543" s="6" t="s">
        <v>2</v>
      </c>
      <c r="G543" s="6" t="s">
        <v>4</v>
      </c>
      <c r="H543" s="6" t="s">
        <v>2</v>
      </c>
      <c r="I543" s="6" t="s">
        <v>3</v>
      </c>
      <c r="J543" s="6" t="s">
        <v>5</v>
      </c>
    </row>
    <row r="544" spans="1:10" x14ac:dyDescent="0.3">
      <c r="A544" s="6" t="s">
        <v>4</v>
      </c>
      <c r="B544" s="6" t="s">
        <v>3</v>
      </c>
      <c r="C544" s="6" t="s">
        <v>3</v>
      </c>
      <c r="D544" s="6" t="s">
        <v>2</v>
      </c>
      <c r="E544" s="6" t="s">
        <v>2</v>
      </c>
      <c r="F544" s="6" t="s">
        <v>2</v>
      </c>
      <c r="G544" s="6" t="s">
        <v>4</v>
      </c>
      <c r="H544" s="6" t="s">
        <v>3</v>
      </c>
      <c r="I544" s="6" t="s">
        <v>2</v>
      </c>
      <c r="J544" s="6" t="s">
        <v>5</v>
      </c>
    </row>
    <row r="545" spans="1:10" x14ac:dyDescent="0.3">
      <c r="A545" s="6" t="s">
        <v>4</v>
      </c>
      <c r="B545" s="6" t="s">
        <v>3</v>
      </c>
      <c r="C545" s="6" t="s">
        <v>3</v>
      </c>
      <c r="D545" s="6" t="s">
        <v>2</v>
      </c>
      <c r="E545" s="6" t="s">
        <v>2</v>
      </c>
      <c r="F545" s="6" t="s">
        <v>2</v>
      </c>
      <c r="G545" s="6" t="s">
        <v>4</v>
      </c>
      <c r="H545" s="6" t="s">
        <v>4</v>
      </c>
      <c r="I545" s="6" t="s">
        <v>4</v>
      </c>
      <c r="J545" s="6" t="s">
        <v>5</v>
      </c>
    </row>
    <row r="546" spans="1:10" x14ac:dyDescent="0.3">
      <c r="A546" s="6" t="s">
        <v>4</v>
      </c>
      <c r="B546" s="6" t="s">
        <v>3</v>
      </c>
      <c r="C546" s="6" t="s">
        <v>3</v>
      </c>
      <c r="D546" s="6" t="s">
        <v>2</v>
      </c>
      <c r="E546" s="6" t="s">
        <v>3</v>
      </c>
      <c r="F546" s="6" t="s">
        <v>4</v>
      </c>
      <c r="G546" s="6" t="s">
        <v>2</v>
      </c>
      <c r="H546" s="6" t="s">
        <v>2</v>
      </c>
      <c r="I546" s="6" t="s">
        <v>2</v>
      </c>
      <c r="J546" s="6" t="s">
        <v>5</v>
      </c>
    </row>
    <row r="547" spans="1:10" x14ac:dyDescent="0.3">
      <c r="A547" s="6" t="s">
        <v>4</v>
      </c>
      <c r="B547" s="6" t="s">
        <v>3</v>
      </c>
      <c r="C547" s="6" t="s">
        <v>3</v>
      </c>
      <c r="D547" s="6" t="s">
        <v>2</v>
      </c>
      <c r="E547" s="6" t="s">
        <v>4</v>
      </c>
      <c r="F547" s="6" t="s">
        <v>3</v>
      </c>
      <c r="G547" s="6" t="s">
        <v>2</v>
      </c>
      <c r="H547" s="6" t="s">
        <v>2</v>
      </c>
      <c r="I547" s="6" t="s">
        <v>2</v>
      </c>
      <c r="J547" s="6" t="s">
        <v>5</v>
      </c>
    </row>
    <row r="548" spans="1:10" x14ac:dyDescent="0.3">
      <c r="A548" s="6" t="s">
        <v>4</v>
      </c>
      <c r="B548" s="6" t="s">
        <v>3</v>
      </c>
      <c r="C548" s="6" t="s">
        <v>3</v>
      </c>
      <c r="D548" s="6" t="s">
        <v>3</v>
      </c>
      <c r="E548" s="6" t="s">
        <v>2</v>
      </c>
      <c r="F548" s="6" t="s">
        <v>4</v>
      </c>
      <c r="G548" s="6" t="s">
        <v>2</v>
      </c>
      <c r="H548" s="6" t="s">
        <v>2</v>
      </c>
      <c r="I548" s="6" t="s">
        <v>2</v>
      </c>
      <c r="J548" s="6" t="s">
        <v>5</v>
      </c>
    </row>
    <row r="549" spans="1:10" x14ac:dyDescent="0.3">
      <c r="A549" s="6" t="s">
        <v>4</v>
      </c>
      <c r="B549" s="6" t="s">
        <v>3</v>
      </c>
      <c r="C549" s="6" t="s">
        <v>3</v>
      </c>
      <c r="D549" s="6" t="s">
        <v>3</v>
      </c>
      <c r="E549" s="6" t="s">
        <v>4</v>
      </c>
      <c r="F549" s="6" t="s">
        <v>2</v>
      </c>
      <c r="G549" s="6" t="s">
        <v>2</v>
      </c>
      <c r="H549" s="6" t="s">
        <v>2</v>
      </c>
      <c r="I549" s="6" t="s">
        <v>2</v>
      </c>
      <c r="J549" s="6" t="s">
        <v>5</v>
      </c>
    </row>
    <row r="550" spans="1:10" x14ac:dyDescent="0.3">
      <c r="A550" s="6" t="s">
        <v>4</v>
      </c>
      <c r="B550" s="6" t="s">
        <v>3</v>
      </c>
      <c r="C550" s="6" t="s">
        <v>3</v>
      </c>
      <c r="D550" s="6" t="s">
        <v>4</v>
      </c>
      <c r="E550" s="6" t="s">
        <v>2</v>
      </c>
      <c r="F550" s="6" t="s">
        <v>3</v>
      </c>
      <c r="G550" s="6" t="s">
        <v>2</v>
      </c>
      <c r="H550" s="6" t="s">
        <v>2</v>
      </c>
      <c r="I550" s="6" t="s">
        <v>2</v>
      </c>
      <c r="J550" s="6" t="s">
        <v>5</v>
      </c>
    </row>
    <row r="551" spans="1:10" x14ac:dyDescent="0.3">
      <c r="A551" s="6" t="s">
        <v>4</v>
      </c>
      <c r="B551" s="6" t="s">
        <v>3</v>
      </c>
      <c r="C551" s="6" t="s">
        <v>3</v>
      </c>
      <c r="D551" s="6" t="s">
        <v>4</v>
      </c>
      <c r="E551" s="6" t="s">
        <v>3</v>
      </c>
      <c r="F551" s="6" t="s">
        <v>2</v>
      </c>
      <c r="G551" s="6" t="s">
        <v>2</v>
      </c>
      <c r="H551" s="6" t="s">
        <v>2</v>
      </c>
      <c r="I551" s="6" t="s">
        <v>2</v>
      </c>
      <c r="J551" s="6" t="s">
        <v>5</v>
      </c>
    </row>
    <row r="552" spans="1:10" x14ac:dyDescent="0.3">
      <c r="A552" s="6" t="s">
        <v>4</v>
      </c>
      <c r="B552" s="6" t="s">
        <v>3</v>
      </c>
      <c r="C552" s="6" t="s">
        <v>3</v>
      </c>
      <c r="D552" s="6" t="s">
        <v>4</v>
      </c>
      <c r="E552" s="6" t="s">
        <v>4</v>
      </c>
      <c r="F552" s="6" t="s">
        <v>4</v>
      </c>
      <c r="G552" s="6" t="s">
        <v>2</v>
      </c>
      <c r="H552" s="6" t="s">
        <v>2</v>
      </c>
      <c r="I552" s="6" t="s">
        <v>2</v>
      </c>
      <c r="J552" s="6" t="s">
        <v>5</v>
      </c>
    </row>
    <row r="553" spans="1:10" x14ac:dyDescent="0.3">
      <c r="A553" s="6" t="s">
        <v>4</v>
      </c>
      <c r="B553" s="6" t="s">
        <v>3</v>
      </c>
      <c r="C553" s="6" t="s">
        <v>4</v>
      </c>
      <c r="D553" s="6" t="s">
        <v>2</v>
      </c>
      <c r="E553" s="6" t="s">
        <v>2</v>
      </c>
      <c r="F553" s="6" t="s">
        <v>2</v>
      </c>
      <c r="G553" s="6" t="s">
        <v>2</v>
      </c>
      <c r="H553" s="6" t="s">
        <v>3</v>
      </c>
      <c r="I553" s="6" t="s">
        <v>3</v>
      </c>
      <c r="J553" s="6" t="s">
        <v>5</v>
      </c>
    </row>
    <row r="554" spans="1:10" x14ac:dyDescent="0.3">
      <c r="A554" s="6" t="s">
        <v>4</v>
      </c>
      <c r="B554" s="6" t="s">
        <v>3</v>
      </c>
      <c r="C554" s="6" t="s">
        <v>4</v>
      </c>
      <c r="D554" s="6" t="s">
        <v>2</v>
      </c>
      <c r="E554" s="6" t="s">
        <v>2</v>
      </c>
      <c r="F554" s="6" t="s">
        <v>2</v>
      </c>
      <c r="G554" s="6" t="s">
        <v>3</v>
      </c>
      <c r="H554" s="6" t="s">
        <v>2</v>
      </c>
      <c r="I554" s="6" t="s">
        <v>3</v>
      </c>
      <c r="J554" s="6" t="s">
        <v>5</v>
      </c>
    </row>
    <row r="555" spans="1:10" x14ac:dyDescent="0.3">
      <c r="A555" s="6" t="s">
        <v>4</v>
      </c>
      <c r="B555" s="6" t="s">
        <v>3</v>
      </c>
      <c r="C555" s="6" t="s">
        <v>4</v>
      </c>
      <c r="D555" s="6" t="s">
        <v>2</v>
      </c>
      <c r="E555" s="6" t="s">
        <v>2</v>
      </c>
      <c r="F555" s="6" t="s">
        <v>2</v>
      </c>
      <c r="G555" s="6" t="s">
        <v>3</v>
      </c>
      <c r="H555" s="6" t="s">
        <v>3</v>
      </c>
      <c r="I555" s="6" t="s">
        <v>2</v>
      </c>
      <c r="J555" s="6" t="s">
        <v>5</v>
      </c>
    </row>
    <row r="556" spans="1:10" x14ac:dyDescent="0.3">
      <c r="A556" s="6" t="s">
        <v>4</v>
      </c>
      <c r="B556" s="6" t="s">
        <v>3</v>
      </c>
      <c r="C556" s="6" t="s">
        <v>4</v>
      </c>
      <c r="D556" s="6" t="s">
        <v>2</v>
      </c>
      <c r="E556" s="6" t="s">
        <v>2</v>
      </c>
      <c r="F556" s="6" t="s">
        <v>2</v>
      </c>
      <c r="G556" s="6" t="s">
        <v>3</v>
      </c>
      <c r="H556" s="6" t="s">
        <v>4</v>
      </c>
      <c r="I556" s="6" t="s">
        <v>4</v>
      </c>
      <c r="J556" s="6" t="s">
        <v>5</v>
      </c>
    </row>
    <row r="557" spans="1:10" x14ac:dyDescent="0.3">
      <c r="A557" s="6" t="s">
        <v>4</v>
      </c>
      <c r="B557" s="6" t="s">
        <v>3</v>
      </c>
      <c r="C557" s="6" t="s">
        <v>4</v>
      </c>
      <c r="D557" s="6" t="s">
        <v>2</v>
      </c>
      <c r="E557" s="6" t="s">
        <v>2</v>
      </c>
      <c r="F557" s="6" t="s">
        <v>2</v>
      </c>
      <c r="G557" s="6" t="s">
        <v>4</v>
      </c>
      <c r="H557" s="6" t="s">
        <v>3</v>
      </c>
      <c r="I557" s="6" t="s">
        <v>4</v>
      </c>
      <c r="J557" s="6" t="s">
        <v>5</v>
      </c>
    </row>
    <row r="558" spans="1:10" x14ac:dyDescent="0.3">
      <c r="A558" s="6" t="s">
        <v>4</v>
      </c>
      <c r="B558" s="6" t="s">
        <v>3</v>
      </c>
      <c r="C558" s="6" t="s">
        <v>4</v>
      </c>
      <c r="D558" s="6" t="s">
        <v>2</v>
      </c>
      <c r="E558" s="6" t="s">
        <v>2</v>
      </c>
      <c r="F558" s="6" t="s">
        <v>2</v>
      </c>
      <c r="G558" s="6" t="s">
        <v>4</v>
      </c>
      <c r="H558" s="6" t="s">
        <v>4</v>
      </c>
      <c r="I558" s="6" t="s">
        <v>3</v>
      </c>
      <c r="J558" s="6" t="s">
        <v>5</v>
      </c>
    </row>
    <row r="559" spans="1:10" x14ac:dyDescent="0.3">
      <c r="A559" s="6" t="s">
        <v>4</v>
      </c>
      <c r="B559" s="6" t="s">
        <v>3</v>
      </c>
      <c r="C559" s="6" t="s">
        <v>4</v>
      </c>
      <c r="D559" s="6" t="s">
        <v>2</v>
      </c>
      <c r="E559" s="6" t="s">
        <v>3</v>
      </c>
      <c r="F559" s="6" t="s">
        <v>3</v>
      </c>
      <c r="G559" s="6" t="s">
        <v>2</v>
      </c>
      <c r="H559" s="6" t="s">
        <v>2</v>
      </c>
      <c r="I559" s="6" t="s">
        <v>2</v>
      </c>
      <c r="J559" s="6" t="s">
        <v>5</v>
      </c>
    </row>
    <row r="560" spans="1:10" x14ac:dyDescent="0.3">
      <c r="A560" s="6" t="s">
        <v>4</v>
      </c>
      <c r="B560" s="6" t="s">
        <v>3</v>
      </c>
      <c r="C560" s="6" t="s">
        <v>4</v>
      </c>
      <c r="D560" s="6" t="s">
        <v>3</v>
      </c>
      <c r="E560" s="6" t="s">
        <v>2</v>
      </c>
      <c r="F560" s="6" t="s">
        <v>3</v>
      </c>
      <c r="G560" s="6" t="s">
        <v>2</v>
      </c>
      <c r="H560" s="6" t="s">
        <v>2</v>
      </c>
      <c r="I560" s="6" t="s">
        <v>2</v>
      </c>
      <c r="J560" s="6" t="s">
        <v>5</v>
      </c>
    </row>
    <row r="561" spans="1:10" x14ac:dyDescent="0.3">
      <c r="A561" s="6" t="s">
        <v>4</v>
      </c>
      <c r="B561" s="6" t="s">
        <v>3</v>
      </c>
      <c r="C561" s="6" t="s">
        <v>4</v>
      </c>
      <c r="D561" s="6" t="s">
        <v>3</v>
      </c>
      <c r="E561" s="6" t="s">
        <v>3</v>
      </c>
      <c r="F561" s="6" t="s">
        <v>2</v>
      </c>
      <c r="G561" s="6" t="s">
        <v>2</v>
      </c>
      <c r="H561" s="6" t="s">
        <v>2</v>
      </c>
      <c r="I561" s="6" t="s">
        <v>2</v>
      </c>
      <c r="J561" s="6" t="s">
        <v>5</v>
      </c>
    </row>
    <row r="562" spans="1:10" x14ac:dyDescent="0.3">
      <c r="A562" s="6" t="s">
        <v>4</v>
      </c>
      <c r="B562" s="6" t="s">
        <v>3</v>
      </c>
      <c r="C562" s="6" t="s">
        <v>4</v>
      </c>
      <c r="D562" s="6" t="s">
        <v>3</v>
      </c>
      <c r="E562" s="6" t="s">
        <v>4</v>
      </c>
      <c r="F562" s="6" t="s">
        <v>4</v>
      </c>
      <c r="G562" s="6" t="s">
        <v>2</v>
      </c>
      <c r="H562" s="6" t="s">
        <v>2</v>
      </c>
      <c r="I562" s="6" t="s">
        <v>2</v>
      </c>
      <c r="J562" s="6" t="s">
        <v>5</v>
      </c>
    </row>
    <row r="563" spans="1:10" x14ac:dyDescent="0.3">
      <c r="A563" s="6" t="s">
        <v>4</v>
      </c>
      <c r="B563" s="6" t="s">
        <v>3</v>
      </c>
      <c r="C563" s="6" t="s">
        <v>4</v>
      </c>
      <c r="D563" s="6" t="s">
        <v>4</v>
      </c>
      <c r="E563" s="6" t="s">
        <v>3</v>
      </c>
      <c r="F563" s="6" t="s">
        <v>4</v>
      </c>
      <c r="G563" s="6" t="s">
        <v>2</v>
      </c>
      <c r="H563" s="6" t="s">
        <v>2</v>
      </c>
      <c r="I563" s="6" t="s">
        <v>2</v>
      </c>
      <c r="J563" s="6" t="s">
        <v>5</v>
      </c>
    </row>
    <row r="564" spans="1:10" x14ac:dyDescent="0.3">
      <c r="A564" s="6" t="s">
        <v>4</v>
      </c>
      <c r="B564" s="6" t="s">
        <v>3</v>
      </c>
      <c r="C564" s="6" t="s">
        <v>4</v>
      </c>
      <c r="D564" s="6" t="s">
        <v>4</v>
      </c>
      <c r="E564" s="6" t="s">
        <v>4</v>
      </c>
      <c r="F564" s="6" t="s">
        <v>3</v>
      </c>
      <c r="G564" s="6" t="s">
        <v>2</v>
      </c>
      <c r="H564" s="6" t="s">
        <v>2</v>
      </c>
      <c r="I564" s="6" t="s">
        <v>2</v>
      </c>
      <c r="J564" s="6" t="s">
        <v>5</v>
      </c>
    </row>
    <row r="565" spans="1:10" x14ac:dyDescent="0.3">
      <c r="A565" s="6" t="s">
        <v>4</v>
      </c>
      <c r="B565" s="6" t="s">
        <v>4</v>
      </c>
      <c r="C565" s="6" t="s">
        <v>2</v>
      </c>
      <c r="D565" s="6" t="s">
        <v>2</v>
      </c>
      <c r="E565" s="6" t="s">
        <v>2</v>
      </c>
      <c r="F565" s="6" t="s">
        <v>3</v>
      </c>
      <c r="G565" s="6" t="s">
        <v>2</v>
      </c>
      <c r="H565" s="6" t="s">
        <v>3</v>
      </c>
      <c r="I565" s="6" t="s">
        <v>3</v>
      </c>
      <c r="J565" s="6" t="s">
        <v>5</v>
      </c>
    </row>
    <row r="566" spans="1:10" x14ac:dyDescent="0.3">
      <c r="A566" s="6" t="s">
        <v>4</v>
      </c>
      <c r="B566" s="6" t="s">
        <v>4</v>
      </c>
      <c r="C566" s="6" t="s">
        <v>2</v>
      </c>
      <c r="D566" s="6" t="s">
        <v>2</v>
      </c>
      <c r="E566" s="6" t="s">
        <v>3</v>
      </c>
      <c r="F566" s="6" t="s">
        <v>2</v>
      </c>
      <c r="G566" s="6" t="s">
        <v>3</v>
      </c>
      <c r="H566" s="6" t="s">
        <v>3</v>
      </c>
      <c r="I566" s="6" t="s">
        <v>2</v>
      </c>
      <c r="J566" s="6" t="s">
        <v>5</v>
      </c>
    </row>
    <row r="567" spans="1:10" x14ac:dyDescent="0.3">
      <c r="A567" s="6" t="s">
        <v>4</v>
      </c>
      <c r="B567" s="6" t="s">
        <v>4</v>
      </c>
      <c r="C567" s="6" t="s">
        <v>2</v>
      </c>
      <c r="D567" s="6" t="s">
        <v>3</v>
      </c>
      <c r="E567" s="6" t="s">
        <v>2</v>
      </c>
      <c r="F567" s="6" t="s">
        <v>2</v>
      </c>
      <c r="G567" s="6" t="s">
        <v>2</v>
      </c>
      <c r="H567" s="6" t="s">
        <v>3</v>
      </c>
      <c r="I567" s="6" t="s">
        <v>3</v>
      </c>
      <c r="J567" s="6" t="s">
        <v>5</v>
      </c>
    </row>
    <row r="568" spans="1:10" x14ac:dyDescent="0.3">
      <c r="A568" s="6" t="s">
        <v>4</v>
      </c>
      <c r="B568" s="6" t="s">
        <v>4</v>
      </c>
      <c r="C568" s="6" t="s">
        <v>2</v>
      </c>
      <c r="D568" s="6" t="s">
        <v>3</v>
      </c>
      <c r="E568" s="6" t="s">
        <v>2</v>
      </c>
      <c r="F568" s="6" t="s">
        <v>2</v>
      </c>
      <c r="G568" s="6" t="s">
        <v>3</v>
      </c>
      <c r="H568" s="6" t="s">
        <v>3</v>
      </c>
      <c r="I568" s="6" t="s">
        <v>2</v>
      </c>
      <c r="J568" s="6" t="s">
        <v>5</v>
      </c>
    </row>
    <row r="569" spans="1:10" x14ac:dyDescent="0.3">
      <c r="A569" s="6" t="s">
        <v>4</v>
      </c>
      <c r="B569" s="6" t="s">
        <v>4</v>
      </c>
      <c r="C569" s="6" t="s">
        <v>2</v>
      </c>
      <c r="D569" s="6" t="s">
        <v>3</v>
      </c>
      <c r="E569" s="6" t="s">
        <v>2</v>
      </c>
      <c r="F569" s="6" t="s">
        <v>3</v>
      </c>
      <c r="G569" s="6" t="s">
        <v>2</v>
      </c>
      <c r="H569" s="6" t="s">
        <v>2</v>
      </c>
      <c r="I569" s="6" t="s">
        <v>3</v>
      </c>
      <c r="J569" s="6" t="s">
        <v>5</v>
      </c>
    </row>
    <row r="570" spans="1:10" x14ac:dyDescent="0.3">
      <c r="A570" s="6" t="s">
        <v>4</v>
      </c>
      <c r="B570" s="6" t="s">
        <v>4</v>
      </c>
      <c r="C570" s="6" t="s">
        <v>2</v>
      </c>
      <c r="D570" s="6" t="s">
        <v>3</v>
      </c>
      <c r="E570" s="6" t="s">
        <v>2</v>
      </c>
      <c r="F570" s="6" t="s">
        <v>3</v>
      </c>
      <c r="G570" s="6" t="s">
        <v>2</v>
      </c>
      <c r="H570" s="6" t="s">
        <v>3</v>
      </c>
      <c r="I570" s="6" t="s">
        <v>2</v>
      </c>
      <c r="J570" s="6" t="s">
        <v>5</v>
      </c>
    </row>
    <row r="571" spans="1:10" x14ac:dyDescent="0.3">
      <c r="A571" s="6" t="s">
        <v>4</v>
      </c>
      <c r="B571" s="6" t="s">
        <v>4</v>
      </c>
      <c r="C571" s="6" t="s">
        <v>2</v>
      </c>
      <c r="D571" s="6" t="s">
        <v>3</v>
      </c>
      <c r="E571" s="6" t="s">
        <v>2</v>
      </c>
      <c r="F571" s="6" t="s">
        <v>3</v>
      </c>
      <c r="G571" s="6" t="s">
        <v>2</v>
      </c>
      <c r="H571" s="6" t="s">
        <v>4</v>
      </c>
      <c r="I571" s="6" t="s">
        <v>4</v>
      </c>
      <c r="J571" s="6" t="s">
        <v>5</v>
      </c>
    </row>
    <row r="572" spans="1:10" x14ac:dyDescent="0.3">
      <c r="A572" s="6" t="s">
        <v>4</v>
      </c>
      <c r="B572" s="6" t="s">
        <v>4</v>
      </c>
      <c r="C572" s="6" t="s">
        <v>2</v>
      </c>
      <c r="D572" s="6" t="s">
        <v>3</v>
      </c>
      <c r="E572" s="6" t="s">
        <v>2</v>
      </c>
      <c r="F572" s="6" t="s">
        <v>4</v>
      </c>
      <c r="G572" s="6" t="s">
        <v>2</v>
      </c>
      <c r="H572" s="6" t="s">
        <v>3</v>
      </c>
      <c r="I572" s="6" t="s">
        <v>4</v>
      </c>
      <c r="J572" s="6" t="s">
        <v>5</v>
      </c>
    </row>
    <row r="573" spans="1:10" x14ac:dyDescent="0.3">
      <c r="A573" s="6" t="s">
        <v>2</v>
      </c>
      <c r="B573" s="6" t="s">
        <v>2</v>
      </c>
      <c r="C573" s="6" t="s">
        <v>3</v>
      </c>
      <c r="D573" s="6" t="s">
        <v>4</v>
      </c>
      <c r="E573" s="6" t="s">
        <v>3</v>
      </c>
      <c r="F573" s="6" t="s">
        <v>4</v>
      </c>
      <c r="G573" s="6" t="s">
        <v>3</v>
      </c>
      <c r="H573" s="6" t="s">
        <v>2</v>
      </c>
      <c r="I573" s="6" t="s">
        <v>4</v>
      </c>
      <c r="J573" s="6" t="s">
        <v>1</v>
      </c>
    </row>
    <row r="574" spans="1:10" x14ac:dyDescent="0.3">
      <c r="A574" s="6" t="s">
        <v>2</v>
      </c>
      <c r="B574" s="6" t="s">
        <v>2</v>
      </c>
      <c r="C574" s="6" t="s">
        <v>3</v>
      </c>
      <c r="D574" s="6" t="s">
        <v>4</v>
      </c>
      <c r="E574" s="6" t="s">
        <v>3</v>
      </c>
      <c r="F574" s="6" t="s">
        <v>4</v>
      </c>
      <c r="G574" s="6" t="s">
        <v>3</v>
      </c>
      <c r="H574" s="6" t="s">
        <v>4</v>
      </c>
      <c r="I574" s="6" t="s">
        <v>2</v>
      </c>
      <c r="J574" s="6" t="s">
        <v>1</v>
      </c>
    </row>
    <row r="575" spans="1:10" x14ac:dyDescent="0.3">
      <c r="A575" s="6" t="s">
        <v>2</v>
      </c>
      <c r="B575" s="6" t="s">
        <v>2</v>
      </c>
      <c r="C575" s="6" t="s">
        <v>3</v>
      </c>
      <c r="D575" s="6" t="s">
        <v>4</v>
      </c>
      <c r="E575" s="6" t="s">
        <v>4</v>
      </c>
      <c r="F575" s="6" t="s">
        <v>3</v>
      </c>
      <c r="G575" s="6" t="s">
        <v>2</v>
      </c>
      <c r="H575" s="6" t="s">
        <v>4</v>
      </c>
      <c r="I575" s="6" t="s">
        <v>3</v>
      </c>
      <c r="J575" s="6" t="s">
        <v>1</v>
      </c>
    </row>
    <row r="576" spans="1:10" x14ac:dyDescent="0.3">
      <c r="A576" s="6" t="s">
        <v>2</v>
      </c>
      <c r="B576" s="6" t="s">
        <v>2</v>
      </c>
      <c r="C576" s="6" t="s">
        <v>3</v>
      </c>
      <c r="D576" s="6" t="s">
        <v>4</v>
      </c>
      <c r="E576" s="6" t="s">
        <v>4</v>
      </c>
      <c r="F576" s="6" t="s">
        <v>3</v>
      </c>
      <c r="G576" s="6" t="s">
        <v>4</v>
      </c>
      <c r="H576" s="6" t="s">
        <v>2</v>
      </c>
      <c r="I576" s="6" t="s">
        <v>3</v>
      </c>
      <c r="J576" s="6" t="s">
        <v>1</v>
      </c>
    </row>
    <row r="577" spans="1:10" x14ac:dyDescent="0.3">
      <c r="A577" s="6" t="s">
        <v>2</v>
      </c>
      <c r="B577" s="6" t="s">
        <v>2</v>
      </c>
      <c r="C577" s="6" t="s">
        <v>4</v>
      </c>
      <c r="D577" s="6" t="s">
        <v>2</v>
      </c>
      <c r="E577" s="6" t="s">
        <v>2</v>
      </c>
      <c r="F577" s="6" t="s">
        <v>3</v>
      </c>
      <c r="G577" s="6" t="s">
        <v>3</v>
      </c>
      <c r="H577" s="6" t="s">
        <v>3</v>
      </c>
      <c r="I577" s="6" t="s">
        <v>3</v>
      </c>
      <c r="J577" s="6" t="s">
        <v>1</v>
      </c>
    </row>
    <row r="578" spans="1:10" x14ac:dyDescent="0.3">
      <c r="A578" s="6" t="s">
        <v>2</v>
      </c>
      <c r="B578" s="6" t="s">
        <v>2</v>
      </c>
      <c r="C578" s="6" t="s">
        <v>4</v>
      </c>
      <c r="D578" s="6" t="s">
        <v>2</v>
      </c>
      <c r="E578" s="6" t="s">
        <v>3</v>
      </c>
      <c r="F578" s="6" t="s">
        <v>2</v>
      </c>
      <c r="G578" s="6" t="s">
        <v>3</v>
      </c>
      <c r="H578" s="6" t="s">
        <v>3</v>
      </c>
      <c r="I578" s="6" t="s">
        <v>3</v>
      </c>
      <c r="J578" s="6" t="s">
        <v>1</v>
      </c>
    </row>
    <row r="579" spans="1:10" x14ac:dyDescent="0.3">
      <c r="A579" s="6" t="s">
        <v>2</v>
      </c>
      <c r="B579" s="6" t="s">
        <v>2</v>
      </c>
      <c r="C579" s="6" t="s">
        <v>4</v>
      </c>
      <c r="D579" s="6" t="s">
        <v>2</v>
      </c>
      <c r="E579" s="6" t="s">
        <v>4</v>
      </c>
      <c r="F579" s="6" t="s">
        <v>4</v>
      </c>
      <c r="G579" s="6" t="s">
        <v>3</v>
      </c>
      <c r="H579" s="6" t="s">
        <v>3</v>
      </c>
      <c r="I579" s="6" t="s">
        <v>3</v>
      </c>
      <c r="J579" s="6" t="s">
        <v>1</v>
      </c>
    </row>
    <row r="580" spans="1:10" x14ac:dyDescent="0.3">
      <c r="A580" s="6" t="s">
        <v>2</v>
      </c>
      <c r="B580" s="6" t="s">
        <v>2</v>
      </c>
      <c r="C580" s="6" t="s">
        <v>4</v>
      </c>
      <c r="D580" s="6" t="s">
        <v>3</v>
      </c>
      <c r="E580" s="6" t="s">
        <v>2</v>
      </c>
      <c r="F580" s="6" t="s">
        <v>2</v>
      </c>
      <c r="G580" s="6" t="s">
        <v>3</v>
      </c>
      <c r="H580" s="6" t="s">
        <v>3</v>
      </c>
      <c r="I580" s="6" t="s">
        <v>3</v>
      </c>
      <c r="J580" s="6" t="s">
        <v>1</v>
      </c>
    </row>
    <row r="581" spans="1:10" x14ac:dyDescent="0.3">
      <c r="A581" s="6" t="s">
        <v>2</v>
      </c>
      <c r="B581" s="6" t="s">
        <v>2</v>
      </c>
      <c r="C581" s="6" t="s">
        <v>4</v>
      </c>
      <c r="D581" s="6" t="s">
        <v>3</v>
      </c>
      <c r="E581" s="6" t="s">
        <v>3</v>
      </c>
      <c r="F581" s="6" t="s">
        <v>3</v>
      </c>
      <c r="G581" s="6" t="s">
        <v>2</v>
      </c>
      <c r="H581" s="6" t="s">
        <v>2</v>
      </c>
      <c r="I581" s="6" t="s">
        <v>3</v>
      </c>
      <c r="J581" s="6" t="s">
        <v>1</v>
      </c>
    </row>
    <row r="582" spans="1:10" x14ac:dyDescent="0.3">
      <c r="A582" s="6" t="s">
        <v>2</v>
      </c>
      <c r="B582" s="6" t="s">
        <v>2</v>
      </c>
      <c r="C582" s="6" t="s">
        <v>4</v>
      </c>
      <c r="D582" s="6" t="s">
        <v>3</v>
      </c>
      <c r="E582" s="6" t="s">
        <v>3</v>
      </c>
      <c r="F582" s="6" t="s">
        <v>3</v>
      </c>
      <c r="G582" s="6" t="s">
        <v>2</v>
      </c>
      <c r="H582" s="6" t="s">
        <v>3</v>
      </c>
      <c r="I582" s="6" t="s">
        <v>2</v>
      </c>
      <c r="J582" s="6" t="s">
        <v>1</v>
      </c>
    </row>
    <row r="583" spans="1:10" x14ac:dyDescent="0.3">
      <c r="A583" s="6" t="s">
        <v>2</v>
      </c>
      <c r="B583" s="6" t="s">
        <v>2</v>
      </c>
      <c r="C583" s="6" t="s">
        <v>4</v>
      </c>
      <c r="D583" s="6" t="s">
        <v>3</v>
      </c>
      <c r="E583" s="6" t="s">
        <v>3</v>
      </c>
      <c r="F583" s="6" t="s">
        <v>3</v>
      </c>
      <c r="G583" s="6" t="s">
        <v>2</v>
      </c>
      <c r="H583" s="6" t="s">
        <v>4</v>
      </c>
      <c r="I583" s="6" t="s">
        <v>4</v>
      </c>
      <c r="J583" s="6" t="s">
        <v>1</v>
      </c>
    </row>
    <row r="584" spans="1:10" x14ac:dyDescent="0.3">
      <c r="A584" s="6" t="s">
        <v>2</v>
      </c>
      <c r="B584" s="6" t="s">
        <v>2</v>
      </c>
      <c r="C584" s="6" t="s">
        <v>4</v>
      </c>
      <c r="D584" s="6" t="s">
        <v>3</v>
      </c>
      <c r="E584" s="6" t="s">
        <v>3</v>
      </c>
      <c r="F584" s="6" t="s">
        <v>3</v>
      </c>
      <c r="G584" s="6" t="s">
        <v>3</v>
      </c>
      <c r="H584" s="6" t="s">
        <v>2</v>
      </c>
      <c r="I584" s="6" t="s">
        <v>2</v>
      </c>
      <c r="J584" s="6" t="s">
        <v>1</v>
      </c>
    </row>
    <row r="585" spans="1:10" x14ac:dyDescent="0.3">
      <c r="A585" s="6" t="s">
        <v>2</v>
      </c>
      <c r="B585" s="6" t="s">
        <v>2</v>
      </c>
      <c r="C585" s="6" t="s">
        <v>4</v>
      </c>
      <c r="D585" s="6" t="s">
        <v>3</v>
      </c>
      <c r="E585" s="6" t="s">
        <v>3</v>
      </c>
      <c r="F585" s="6" t="s">
        <v>3</v>
      </c>
      <c r="G585" s="6" t="s">
        <v>4</v>
      </c>
      <c r="H585" s="6" t="s">
        <v>2</v>
      </c>
      <c r="I585" s="6" t="s">
        <v>4</v>
      </c>
      <c r="J585" s="6" t="s">
        <v>1</v>
      </c>
    </row>
    <row r="586" spans="1:10" x14ac:dyDescent="0.3">
      <c r="A586" s="6" t="s">
        <v>2</v>
      </c>
      <c r="B586" s="6" t="s">
        <v>2</v>
      </c>
      <c r="C586" s="6" t="s">
        <v>4</v>
      </c>
      <c r="D586" s="6" t="s">
        <v>3</v>
      </c>
      <c r="E586" s="6" t="s">
        <v>3</v>
      </c>
      <c r="F586" s="6" t="s">
        <v>3</v>
      </c>
      <c r="G586" s="6" t="s">
        <v>4</v>
      </c>
      <c r="H586" s="6" t="s">
        <v>4</v>
      </c>
      <c r="I586" s="6" t="s">
        <v>2</v>
      </c>
      <c r="J586" s="6" t="s">
        <v>1</v>
      </c>
    </row>
    <row r="587" spans="1:10" x14ac:dyDescent="0.3">
      <c r="A587" s="6" t="s">
        <v>2</v>
      </c>
      <c r="B587" s="6" t="s">
        <v>2</v>
      </c>
      <c r="C587" s="6" t="s">
        <v>4</v>
      </c>
      <c r="D587" s="6" t="s">
        <v>4</v>
      </c>
      <c r="E587" s="6" t="s">
        <v>2</v>
      </c>
      <c r="F587" s="6" t="s">
        <v>4</v>
      </c>
      <c r="G587" s="6" t="s">
        <v>3</v>
      </c>
      <c r="H587" s="6" t="s">
        <v>3</v>
      </c>
      <c r="I587" s="6" t="s">
        <v>3</v>
      </c>
      <c r="J587" s="6" t="s">
        <v>1</v>
      </c>
    </row>
    <row r="588" spans="1:10" x14ac:dyDescent="0.3">
      <c r="A588" s="6" t="s">
        <v>2</v>
      </c>
      <c r="B588" s="6" t="s">
        <v>2</v>
      </c>
      <c r="C588" s="6" t="s">
        <v>4</v>
      </c>
      <c r="D588" s="6" t="s">
        <v>4</v>
      </c>
      <c r="E588" s="6" t="s">
        <v>4</v>
      </c>
      <c r="F588" s="6" t="s">
        <v>2</v>
      </c>
      <c r="G588" s="6" t="s">
        <v>3</v>
      </c>
      <c r="H588" s="6" t="s">
        <v>3</v>
      </c>
      <c r="I588" s="6" t="s">
        <v>3</v>
      </c>
      <c r="J588" s="6" t="s">
        <v>1</v>
      </c>
    </row>
    <row r="589" spans="1:10" x14ac:dyDescent="0.3">
      <c r="A589" s="6" t="s">
        <v>2</v>
      </c>
      <c r="B589" s="6" t="s">
        <v>3</v>
      </c>
      <c r="C589" s="6" t="s">
        <v>2</v>
      </c>
      <c r="D589" s="6" t="s">
        <v>2</v>
      </c>
      <c r="E589" s="6" t="s">
        <v>2</v>
      </c>
      <c r="F589" s="6" t="s">
        <v>4</v>
      </c>
      <c r="G589" s="6" t="s">
        <v>3</v>
      </c>
      <c r="H589" s="6" t="s">
        <v>3</v>
      </c>
      <c r="I589" s="6" t="s">
        <v>3</v>
      </c>
      <c r="J589" s="6" t="s">
        <v>1</v>
      </c>
    </row>
    <row r="590" spans="1:10" x14ac:dyDescent="0.3">
      <c r="A590" s="6" t="s">
        <v>2</v>
      </c>
      <c r="B590" s="6" t="s">
        <v>3</v>
      </c>
      <c r="C590" s="6" t="s">
        <v>2</v>
      </c>
      <c r="D590" s="6" t="s">
        <v>2</v>
      </c>
      <c r="E590" s="6" t="s">
        <v>3</v>
      </c>
      <c r="F590" s="6" t="s">
        <v>2</v>
      </c>
      <c r="G590" s="6" t="s">
        <v>3</v>
      </c>
      <c r="H590" s="6" t="s">
        <v>3</v>
      </c>
      <c r="I590" s="6" t="s">
        <v>4</v>
      </c>
      <c r="J590" s="6" t="s">
        <v>1</v>
      </c>
    </row>
    <row r="591" spans="1:10" x14ac:dyDescent="0.3">
      <c r="A591" s="6" t="s">
        <v>2</v>
      </c>
      <c r="B591" s="6" t="s">
        <v>3</v>
      </c>
      <c r="C591" s="6" t="s">
        <v>2</v>
      </c>
      <c r="D591" s="6" t="s">
        <v>2</v>
      </c>
      <c r="E591" s="6" t="s">
        <v>3</v>
      </c>
      <c r="F591" s="6" t="s">
        <v>2</v>
      </c>
      <c r="G591" s="6" t="s">
        <v>4</v>
      </c>
      <c r="H591" s="6" t="s">
        <v>3</v>
      </c>
      <c r="I591" s="6" t="s">
        <v>3</v>
      </c>
      <c r="J591" s="6" t="s">
        <v>1</v>
      </c>
    </row>
    <row r="592" spans="1:10" x14ac:dyDescent="0.3">
      <c r="A592" s="6" t="s">
        <v>2</v>
      </c>
      <c r="B592" s="6" t="s">
        <v>3</v>
      </c>
      <c r="C592" s="6" t="s">
        <v>2</v>
      </c>
      <c r="D592" s="6" t="s">
        <v>4</v>
      </c>
      <c r="E592" s="6" t="s">
        <v>3</v>
      </c>
      <c r="F592" s="6" t="s">
        <v>2</v>
      </c>
      <c r="G592" s="6" t="s">
        <v>2</v>
      </c>
      <c r="H592" s="6" t="s">
        <v>3</v>
      </c>
      <c r="I592" s="6" t="s">
        <v>3</v>
      </c>
      <c r="J592" s="6" t="s">
        <v>1</v>
      </c>
    </row>
    <row r="593" spans="1:10" x14ac:dyDescent="0.3">
      <c r="A593" s="6" t="s">
        <v>2</v>
      </c>
      <c r="B593" s="6" t="s">
        <v>3</v>
      </c>
      <c r="C593" s="6" t="s">
        <v>2</v>
      </c>
      <c r="D593" s="6" t="s">
        <v>4</v>
      </c>
      <c r="E593" s="6" t="s">
        <v>3</v>
      </c>
      <c r="F593" s="6" t="s">
        <v>2</v>
      </c>
      <c r="G593" s="6" t="s">
        <v>4</v>
      </c>
      <c r="H593" s="6" t="s">
        <v>3</v>
      </c>
      <c r="I593" s="6" t="s">
        <v>4</v>
      </c>
      <c r="J593" s="6" t="s">
        <v>1</v>
      </c>
    </row>
    <row r="594" spans="1:10" x14ac:dyDescent="0.3">
      <c r="A594" s="6" t="s">
        <v>2</v>
      </c>
      <c r="B594" s="6" t="s">
        <v>3</v>
      </c>
      <c r="C594" s="6" t="s">
        <v>2</v>
      </c>
      <c r="D594" s="6" t="s">
        <v>4</v>
      </c>
      <c r="E594" s="6" t="s">
        <v>3</v>
      </c>
      <c r="F594" s="6" t="s">
        <v>3</v>
      </c>
      <c r="G594" s="6" t="s">
        <v>2</v>
      </c>
      <c r="H594" s="6" t="s">
        <v>3</v>
      </c>
      <c r="I594" s="6" t="s">
        <v>2</v>
      </c>
      <c r="J594" s="6" t="s">
        <v>1</v>
      </c>
    </row>
    <row r="595" spans="1:10" x14ac:dyDescent="0.3">
      <c r="A595" s="6" t="s">
        <v>2</v>
      </c>
      <c r="B595" s="6" t="s">
        <v>3</v>
      </c>
      <c r="C595" s="6" t="s">
        <v>2</v>
      </c>
      <c r="D595" s="6" t="s">
        <v>4</v>
      </c>
      <c r="E595" s="6" t="s">
        <v>3</v>
      </c>
      <c r="F595" s="6" t="s">
        <v>4</v>
      </c>
      <c r="G595" s="6" t="s">
        <v>2</v>
      </c>
      <c r="H595" s="6" t="s">
        <v>3</v>
      </c>
      <c r="I595" s="6" t="s">
        <v>4</v>
      </c>
      <c r="J595" s="6" t="s">
        <v>1</v>
      </c>
    </row>
    <row r="596" spans="1:10" x14ac:dyDescent="0.3">
      <c r="A596" s="6" t="s">
        <v>2</v>
      </c>
      <c r="B596" s="6" t="s">
        <v>3</v>
      </c>
      <c r="C596" s="6" t="s">
        <v>2</v>
      </c>
      <c r="D596" s="6" t="s">
        <v>4</v>
      </c>
      <c r="E596" s="6" t="s">
        <v>3</v>
      </c>
      <c r="F596" s="6" t="s">
        <v>4</v>
      </c>
      <c r="G596" s="6" t="s">
        <v>4</v>
      </c>
      <c r="H596" s="6" t="s">
        <v>3</v>
      </c>
      <c r="I596" s="6" t="s">
        <v>2</v>
      </c>
      <c r="J596" s="6" t="s">
        <v>1</v>
      </c>
    </row>
    <row r="597" spans="1:10" x14ac:dyDescent="0.3">
      <c r="A597" s="6" t="s">
        <v>2</v>
      </c>
      <c r="B597" s="6" t="s">
        <v>3</v>
      </c>
      <c r="C597" s="6" t="s">
        <v>3</v>
      </c>
      <c r="D597" s="6" t="s">
        <v>2</v>
      </c>
      <c r="E597" s="6" t="s">
        <v>2</v>
      </c>
      <c r="F597" s="6" t="s">
        <v>3</v>
      </c>
      <c r="G597" s="6" t="s">
        <v>4</v>
      </c>
      <c r="H597" s="6" t="s">
        <v>2</v>
      </c>
      <c r="I597" s="6" t="s">
        <v>3</v>
      </c>
      <c r="J597" s="6" t="s">
        <v>1</v>
      </c>
    </row>
    <row r="598" spans="1:10" x14ac:dyDescent="0.3">
      <c r="A598" s="6" t="s">
        <v>2</v>
      </c>
      <c r="B598" s="6" t="s">
        <v>3</v>
      </c>
      <c r="C598" s="6" t="s">
        <v>3</v>
      </c>
      <c r="D598" s="6" t="s">
        <v>2</v>
      </c>
      <c r="E598" s="6" t="s">
        <v>3</v>
      </c>
      <c r="F598" s="6" t="s">
        <v>2</v>
      </c>
      <c r="G598" s="6" t="s">
        <v>3</v>
      </c>
      <c r="H598" s="6" t="s">
        <v>2</v>
      </c>
      <c r="I598" s="6" t="s">
        <v>4</v>
      </c>
      <c r="J598" s="6" t="s">
        <v>1</v>
      </c>
    </row>
    <row r="599" spans="1:10" x14ac:dyDescent="0.3">
      <c r="A599" s="6" t="s">
        <v>2</v>
      </c>
      <c r="B599" s="6" t="s">
        <v>3</v>
      </c>
      <c r="C599" s="6" t="s">
        <v>3</v>
      </c>
      <c r="D599" s="6" t="s">
        <v>2</v>
      </c>
      <c r="E599" s="6" t="s">
        <v>3</v>
      </c>
      <c r="F599" s="6" t="s">
        <v>2</v>
      </c>
      <c r="G599" s="6" t="s">
        <v>3</v>
      </c>
      <c r="H599" s="6" t="s">
        <v>4</v>
      </c>
      <c r="I599" s="6" t="s">
        <v>2</v>
      </c>
      <c r="J599" s="6" t="s">
        <v>1</v>
      </c>
    </row>
    <row r="600" spans="1:10" x14ac:dyDescent="0.3">
      <c r="A600" s="6" t="s">
        <v>2</v>
      </c>
      <c r="B600" s="6" t="s">
        <v>3</v>
      </c>
      <c r="C600" s="6" t="s">
        <v>3</v>
      </c>
      <c r="D600" s="6" t="s">
        <v>2</v>
      </c>
      <c r="E600" s="6" t="s">
        <v>3</v>
      </c>
      <c r="F600" s="6" t="s">
        <v>2</v>
      </c>
      <c r="G600" s="6" t="s">
        <v>4</v>
      </c>
      <c r="H600" s="6" t="s">
        <v>3</v>
      </c>
      <c r="I600" s="6" t="s">
        <v>2</v>
      </c>
      <c r="J600" s="6" t="s">
        <v>1</v>
      </c>
    </row>
    <row r="601" spans="1:10" x14ac:dyDescent="0.3">
      <c r="A601" s="6" t="s">
        <v>2</v>
      </c>
      <c r="B601" s="6" t="s">
        <v>3</v>
      </c>
      <c r="C601" s="6" t="s">
        <v>3</v>
      </c>
      <c r="D601" s="6" t="s">
        <v>2</v>
      </c>
      <c r="E601" s="6" t="s">
        <v>3</v>
      </c>
      <c r="F601" s="6" t="s">
        <v>4</v>
      </c>
      <c r="G601" s="6" t="s">
        <v>3</v>
      </c>
      <c r="H601" s="6" t="s">
        <v>2</v>
      </c>
      <c r="I601" s="6" t="s">
        <v>2</v>
      </c>
      <c r="J601" s="6" t="s">
        <v>1</v>
      </c>
    </row>
    <row r="602" spans="1:10" x14ac:dyDescent="0.3">
      <c r="A602" s="6" t="s">
        <v>2</v>
      </c>
      <c r="B602" s="6" t="s">
        <v>3</v>
      </c>
      <c r="C602" s="6" t="s">
        <v>3</v>
      </c>
      <c r="D602" s="6" t="s">
        <v>4</v>
      </c>
      <c r="E602" s="6" t="s">
        <v>2</v>
      </c>
      <c r="F602" s="6" t="s">
        <v>3</v>
      </c>
      <c r="G602" s="6" t="s">
        <v>2</v>
      </c>
      <c r="H602" s="6" t="s">
        <v>2</v>
      </c>
      <c r="I602" s="6" t="s">
        <v>3</v>
      </c>
      <c r="J602" s="6" t="s">
        <v>1</v>
      </c>
    </row>
    <row r="603" spans="1:10" x14ac:dyDescent="0.3">
      <c r="A603" s="6" t="s">
        <v>2</v>
      </c>
      <c r="B603" s="6" t="s">
        <v>3</v>
      </c>
      <c r="C603" s="6" t="s">
        <v>3</v>
      </c>
      <c r="D603" s="6" t="s">
        <v>4</v>
      </c>
      <c r="E603" s="6" t="s">
        <v>3</v>
      </c>
      <c r="F603" s="6" t="s">
        <v>2</v>
      </c>
      <c r="G603" s="6" t="s">
        <v>2</v>
      </c>
      <c r="H603" s="6" t="s">
        <v>3</v>
      </c>
      <c r="I603" s="6" t="s">
        <v>2</v>
      </c>
      <c r="J603" s="6" t="s">
        <v>1</v>
      </c>
    </row>
    <row r="604" spans="1:10" x14ac:dyDescent="0.3">
      <c r="A604" s="6" t="s">
        <v>2</v>
      </c>
      <c r="B604" s="6" t="s">
        <v>3</v>
      </c>
      <c r="C604" s="6" t="s">
        <v>3</v>
      </c>
      <c r="D604" s="6" t="s">
        <v>4</v>
      </c>
      <c r="E604" s="6" t="s">
        <v>3</v>
      </c>
      <c r="F604" s="6" t="s">
        <v>2</v>
      </c>
      <c r="G604" s="6" t="s">
        <v>3</v>
      </c>
      <c r="H604" s="6" t="s">
        <v>2</v>
      </c>
      <c r="I604" s="6" t="s">
        <v>2</v>
      </c>
      <c r="J604" s="6" t="s">
        <v>1</v>
      </c>
    </row>
    <row r="605" spans="1:10" x14ac:dyDescent="0.3">
      <c r="A605" s="6" t="s">
        <v>2</v>
      </c>
      <c r="B605" s="6" t="s">
        <v>3</v>
      </c>
      <c r="C605" s="6" t="s">
        <v>4</v>
      </c>
      <c r="D605" s="6" t="s">
        <v>2</v>
      </c>
      <c r="E605" s="6" t="s">
        <v>3</v>
      </c>
      <c r="F605" s="6" t="s">
        <v>2</v>
      </c>
      <c r="G605" s="6" t="s">
        <v>3</v>
      </c>
      <c r="H605" s="6" t="s">
        <v>3</v>
      </c>
      <c r="I605" s="6" t="s">
        <v>2</v>
      </c>
      <c r="J605" s="6" t="s">
        <v>1</v>
      </c>
    </row>
    <row r="606" spans="1:10" x14ac:dyDescent="0.3">
      <c r="A606" s="6" t="s">
        <v>2</v>
      </c>
      <c r="B606" s="6" t="s">
        <v>3</v>
      </c>
      <c r="C606" s="6" t="s">
        <v>4</v>
      </c>
      <c r="D606" s="6" t="s">
        <v>2</v>
      </c>
      <c r="E606" s="6" t="s">
        <v>3</v>
      </c>
      <c r="F606" s="6" t="s">
        <v>2</v>
      </c>
      <c r="G606" s="6" t="s">
        <v>4</v>
      </c>
      <c r="H606" s="6" t="s">
        <v>3</v>
      </c>
      <c r="I606" s="6" t="s">
        <v>4</v>
      </c>
      <c r="J606" s="6" t="s">
        <v>1</v>
      </c>
    </row>
    <row r="607" spans="1:10" x14ac:dyDescent="0.3">
      <c r="A607" s="6" t="s">
        <v>2</v>
      </c>
      <c r="B607" s="6" t="s">
        <v>3</v>
      </c>
      <c r="C607" s="6" t="s">
        <v>4</v>
      </c>
      <c r="D607" s="6" t="s">
        <v>2</v>
      </c>
      <c r="E607" s="6" t="s">
        <v>3</v>
      </c>
      <c r="F607" s="6" t="s">
        <v>4</v>
      </c>
      <c r="G607" s="6" t="s">
        <v>4</v>
      </c>
      <c r="H607" s="6" t="s">
        <v>3</v>
      </c>
      <c r="I607" s="6" t="s">
        <v>2</v>
      </c>
      <c r="J607" s="6" t="s">
        <v>1</v>
      </c>
    </row>
    <row r="608" spans="1:10" x14ac:dyDescent="0.3">
      <c r="A608" s="6" t="s">
        <v>2</v>
      </c>
      <c r="B608" s="6" t="s">
        <v>3</v>
      </c>
      <c r="C608" s="6" t="s">
        <v>4</v>
      </c>
      <c r="D608" s="6" t="s">
        <v>3</v>
      </c>
      <c r="E608" s="6" t="s">
        <v>3</v>
      </c>
      <c r="F608" s="6" t="s">
        <v>2</v>
      </c>
      <c r="G608" s="6" t="s">
        <v>2</v>
      </c>
      <c r="H608" s="6" t="s">
        <v>3</v>
      </c>
      <c r="I608" s="6" t="s">
        <v>2</v>
      </c>
      <c r="J608" s="6" t="s">
        <v>1</v>
      </c>
    </row>
    <row r="609" spans="1:10" x14ac:dyDescent="0.3">
      <c r="A609" s="6" t="s">
        <v>2</v>
      </c>
      <c r="B609" s="6" t="s">
        <v>3</v>
      </c>
      <c r="C609" s="6" t="s">
        <v>4</v>
      </c>
      <c r="D609" s="6" t="s">
        <v>4</v>
      </c>
      <c r="E609" s="6" t="s">
        <v>3</v>
      </c>
      <c r="F609" s="6" t="s">
        <v>2</v>
      </c>
      <c r="G609" s="6" t="s">
        <v>2</v>
      </c>
      <c r="H609" s="6" t="s">
        <v>3</v>
      </c>
      <c r="I609" s="6" t="s">
        <v>4</v>
      </c>
      <c r="J609" s="6" t="s">
        <v>1</v>
      </c>
    </row>
    <row r="610" spans="1:10" x14ac:dyDescent="0.3">
      <c r="A610" s="6" t="s">
        <v>2</v>
      </c>
      <c r="B610" s="6" t="s">
        <v>3</v>
      </c>
      <c r="C610" s="6" t="s">
        <v>4</v>
      </c>
      <c r="D610" s="6" t="s">
        <v>4</v>
      </c>
      <c r="E610" s="6" t="s">
        <v>3</v>
      </c>
      <c r="F610" s="6" t="s">
        <v>2</v>
      </c>
      <c r="G610" s="6" t="s">
        <v>4</v>
      </c>
      <c r="H610" s="6" t="s">
        <v>3</v>
      </c>
      <c r="I610" s="6" t="s">
        <v>2</v>
      </c>
      <c r="J610" s="6" t="s">
        <v>1</v>
      </c>
    </row>
    <row r="611" spans="1:10" x14ac:dyDescent="0.3">
      <c r="A611" s="6" t="s">
        <v>2</v>
      </c>
      <c r="B611" s="6" t="s">
        <v>3</v>
      </c>
      <c r="C611" s="6" t="s">
        <v>4</v>
      </c>
      <c r="D611" s="6" t="s">
        <v>4</v>
      </c>
      <c r="E611" s="6" t="s">
        <v>3</v>
      </c>
      <c r="F611" s="6" t="s">
        <v>4</v>
      </c>
      <c r="G611" s="6" t="s">
        <v>2</v>
      </c>
      <c r="H611" s="6" t="s">
        <v>3</v>
      </c>
      <c r="I611" s="6" t="s">
        <v>2</v>
      </c>
      <c r="J611" s="6" t="s">
        <v>1</v>
      </c>
    </row>
    <row r="612" spans="1:10" x14ac:dyDescent="0.3">
      <c r="A612" s="6" t="s">
        <v>2</v>
      </c>
      <c r="B612" s="6" t="s">
        <v>4</v>
      </c>
      <c r="C612" s="6" t="s">
        <v>2</v>
      </c>
      <c r="D612" s="6" t="s">
        <v>2</v>
      </c>
      <c r="E612" s="6" t="s">
        <v>2</v>
      </c>
      <c r="F612" s="6" t="s">
        <v>3</v>
      </c>
      <c r="G612" s="6" t="s">
        <v>3</v>
      </c>
      <c r="H612" s="6" t="s">
        <v>3</v>
      </c>
      <c r="I612" s="6" t="s">
        <v>3</v>
      </c>
      <c r="J612" s="6" t="s">
        <v>1</v>
      </c>
    </row>
    <row r="613" spans="1:10" x14ac:dyDescent="0.3">
      <c r="A613" s="6" t="s">
        <v>2</v>
      </c>
      <c r="B613" s="6" t="s">
        <v>4</v>
      </c>
      <c r="C613" s="6" t="s">
        <v>2</v>
      </c>
      <c r="D613" s="6" t="s">
        <v>2</v>
      </c>
      <c r="E613" s="6" t="s">
        <v>3</v>
      </c>
      <c r="F613" s="6" t="s">
        <v>2</v>
      </c>
      <c r="G613" s="6" t="s">
        <v>3</v>
      </c>
      <c r="H613" s="6" t="s">
        <v>3</v>
      </c>
      <c r="I613" s="6" t="s">
        <v>3</v>
      </c>
      <c r="J613" s="6" t="s">
        <v>1</v>
      </c>
    </row>
    <row r="614" spans="1:10" x14ac:dyDescent="0.3">
      <c r="A614" s="6" t="s">
        <v>2</v>
      </c>
      <c r="B614" s="6" t="s">
        <v>4</v>
      </c>
      <c r="C614" s="6" t="s">
        <v>2</v>
      </c>
      <c r="D614" s="6" t="s">
        <v>2</v>
      </c>
      <c r="E614" s="6" t="s">
        <v>4</v>
      </c>
      <c r="F614" s="6" t="s">
        <v>4</v>
      </c>
      <c r="G614" s="6" t="s">
        <v>3</v>
      </c>
      <c r="H614" s="6" t="s">
        <v>3</v>
      </c>
      <c r="I614" s="6" t="s">
        <v>3</v>
      </c>
      <c r="J614" s="6" t="s">
        <v>1</v>
      </c>
    </row>
    <row r="615" spans="1:10" x14ac:dyDescent="0.3">
      <c r="A615" s="6" t="s">
        <v>2</v>
      </c>
      <c r="B615" s="6" t="s">
        <v>4</v>
      </c>
      <c r="C615" s="6" t="s">
        <v>2</v>
      </c>
      <c r="D615" s="6" t="s">
        <v>3</v>
      </c>
      <c r="E615" s="6" t="s">
        <v>2</v>
      </c>
      <c r="F615" s="6" t="s">
        <v>2</v>
      </c>
      <c r="G615" s="6" t="s">
        <v>3</v>
      </c>
      <c r="H615" s="6" t="s">
        <v>3</v>
      </c>
      <c r="I615" s="6" t="s">
        <v>3</v>
      </c>
      <c r="J615" s="6" t="s">
        <v>1</v>
      </c>
    </row>
    <row r="616" spans="1:10" x14ac:dyDescent="0.3">
      <c r="A616" s="6" t="s">
        <v>2</v>
      </c>
      <c r="B616" s="6" t="s">
        <v>4</v>
      </c>
      <c r="C616" s="6" t="s">
        <v>2</v>
      </c>
      <c r="D616" s="6" t="s">
        <v>3</v>
      </c>
      <c r="E616" s="6" t="s">
        <v>3</v>
      </c>
      <c r="F616" s="6" t="s">
        <v>3</v>
      </c>
      <c r="G616" s="6" t="s">
        <v>2</v>
      </c>
      <c r="H616" s="6" t="s">
        <v>2</v>
      </c>
      <c r="I616" s="6" t="s">
        <v>3</v>
      </c>
      <c r="J616" s="6" t="s">
        <v>1</v>
      </c>
    </row>
    <row r="617" spans="1:10" x14ac:dyDescent="0.3">
      <c r="A617" s="6" t="s">
        <v>2</v>
      </c>
      <c r="B617" s="6" t="s">
        <v>4</v>
      </c>
      <c r="C617" s="6" t="s">
        <v>2</v>
      </c>
      <c r="D617" s="6" t="s">
        <v>3</v>
      </c>
      <c r="E617" s="6" t="s">
        <v>3</v>
      </c>
      <c r="F617" s="6" t="s">
        <v>3</v>
      </c>
      <c r="G617" s="6" t="s">
        <v>2</v>
      </c>
      <c r="H617" s="6" t="s">
        <v>3</v>
      </c>
      <c r="I617" s="6" t="s">
        <v>2</v>
      </c>
      <c r="J617" s="6" t="s">
        <v>1</v>
      </c>
    </row>
    <row r="618" spans="1:10" x14ac:dyDescent="0.3">
      <c r="A618" s="6" t="s">
        <v>2</v>
      </c>
      <c r="B618" s="6" t="s">
        <v>4</v>
      </c>
      <c r="C618" s="6" t="s">
        <v>2</v>
      </c>
      <c r="D618" s="6" t="s">
        <v>3</v>
      </c>
      <c r="E618" s="6" t="s">
        <v>3</v>
      </c>
      <c r="F618" s="6" t="s">
        <v>3</v>
      </c>
      <c r="G618" s="6" t="s">
        <v>2</v>
      </c>
      <c r="H618" s="6" t="s">
        <v>4</v>
      </c>
      <c r="I618" s="6" t="s">
        <v>4</v>
      </c>
      <c r="J618" s="6" t="s">
        <v>1</v>
      </c>
    </row>
    <row r="619" spans="1:10" x14ac:dyDescent="0.3">
      <c r="A619" s="6" t="s">
        <v>2</v>
      </c>
      <c r="B619" s="6" t="s">
        <v>4</v>
      </c>
      <c r="C619" s="6" t="s">
        <v>2</v>
      </c>
      <c r="D619" s="6" t="s">
        <v>3</v>
      </c>
      <c r="E619" s="6" t="s">
        <v>3</v>
      </c>
      <c r="F619" s="6" t="s">
        <v>3</v>
      </c>
      <c r="G619" s="6" t="s">
        <v>3</v>
      </c>
      <c r="H619" s="6" t="s">
        <v>2</v>
      </c>
      <c r="I619" s="6" t="s">
        <v>2</v>
      </c>
      <c r="J619" s="6" t="s">
        <v>1</v>
      </c>
    </row>
    <row r="620" spans="1:10" x14ac:dyDescent="0.3">
      <c r="A620" s="6" t="s">
        <v>2</v>
      </c>
      <c r="B620" s="6" t="s">
        <v>4</v>
      </c>
      <c r="C620" s="6" t="s">
        <v>2</v>
      </c>
      <c r="D620" s="6" t="s">
        <v>3</v>
      </c>
      <c r="E620" s="6" t="s">
        <v>3</v>
      </c>
      <c r="F620" s="6" t="s">
        <v>3</v>
      </c>
      <c r="G620" s="6" t="s">
        <v>4</v>
      </c>
      <c r="H620" s="6" t="s">
        <v>2</v>
      </c>
      <c r="I620" s="6" t="s">
        <v>4</v>
      </c>
      <c r="J620" s="6" t="s">
        <v>1</v>
      </c>
    </row>
    <row r="621" spans="1:10" x14ac:dyDescent="0.3">
      <c r="A621" s="6" t="s">
        <v>2</v>
      </c>
      <c r="B621" s="6" t="s">
        <v>4</v>
      </c>
      <c r="C621" s="6" t="s">
        <v>2</v>
      </c>
      <c r="D621" s="6" t="s">
        <v>3</v>
      </c>
      <c r="E621" s="6" t="s">
        <v>3</v>
      </c>
      <c r="F621" s="6" t="s">
        <v>3</v>
      </c>
      <c r="G621" s="6" t="s">
        <v>4</v>
      </c>
      <c r="H621" s="6" t="s">
        <v>4</v>
      </c>
      <c r="I621" s="6" t="s">
        <v>2</v>
      </c>
      <c r="J621" s="6" t="s">
        <v>1</v>
      </c>
    </row>
    <row r="622" spans="1:10" x14ac:dyDescent="0.3">
      <c r="A622" s="6" t="s">
        <v>2</v>
      </c>
      <c r="B622" s="6" t="s">
        <v>4</v>
      </c>
      <c r="C622" s="6" t="s">
        <v>2</v>
      </c>
      <c r="D622" s="6" t="s">
        <v>4</v>
      </c>
      <c r="E622" s="6" t="s">
        <v>2</v>
      </c>
      <c r="F622" s="6" t="s">
        <v>4</v>
      </c>
      <c r="G622" s="6" t="s">
        <v>3</v>
      </c>
      <c r="H622" s="6" t="s">
        <v>3</v>
      </c>
      <c r="I622" s="6" t="s">
        <v>3</v>
      </c>
      <c r="J622" s="6" t="s">
        <v>1</v>
      </c>
    </row>
    <row r="623" spans="1:10" x14ac:dyDescent="0.3">
      <c r="A623" s="6" t="s">
        <v>2</v>
      </c>
      <c r="B623" s="6" t="s">
        <v>4</v>
      </c>
      <c r="C623" s="6" t="s">
        <v>2</v>
      </c>
      <c r="D623" s="6" t="s">
        <v>4</v>
      </c>
      <c r="E623" s="6" t="s">
        <v>4</v>
      </c>
      <c r="F623" s="6" t="s">
        <v>2</v>
      </c>
      <c r="G623" s="6" t="s">
        <v>3</v>
      </c>
      <c r="H623" s="6" t="s">
        <v>3</v>
      </c>
      <c r="I623" s="6" t="s">
        <v>3</v>
      </c>
      <c r="J623" s="6" t="s">
        <v>1</v>
      </c>
    </row>
    <row r="624" spans="1:10" x14ac:dyDescent="0.3">
      <c r="A624" s="6" t="s">
        <v>2</v>
      </c>
      <c r="B624" s="6" t="s">
        <v>4</v>
      </c>
      <c r="C624" s="6" t="s">
        <v>3</v>
      </c>
      <c r="D624" s="6" t="s">
        <v>2</v>
      </c>
      <c r="E624" s="6" t="s">
        <v>2</v>
      </c>
      <c r="F624" s="6" t="s">
        <v>3</v>
      </c>
      <c r="G624" s="6" t="s">
        <v>3</v>
      </c>
      <c r="H624" s="6" t="s">
        <v>2</v>
      </c>
      <c r="I624" s="6" t="s">
        <v>3</v>
      </c>
      <c r="J624" s="6" t="s">
        <v>1</v>
      </c>
    </row>
    <row r="625" spans="1:10" x14ac:dyDescent="0.3">
      <c r="A625" s="6" t="s">
        <v>2</v>
      </c>
      <c r="B625" s="6" t="s">
        <v>4</v>
      </c>
      <c r="C625" s="6" t="s">
        <v>3</v>
      </c>
      <c r="D625" s="6" t="s">
        <v>2</v>
      </c>
      <c r="E625" s="6" t="s">
        <v>2</v>
      </c>
      <c r="F625" s="6" t="s">
        <v>3</v>
      </c>
      <c r="G625" s="6" t="s">
        <v>4</v>
      </c>
      <c r="H625" s="6" t="s">
        <v>4</v>
      </c>
      <c r="I625" s="6" t="s">
        <v>3</v>
      </c>
      <c r="J625" s="6" t="s">
        <v>1</v>
      </c>
    </row>
    <row r="626" spans="1:10" x14ac:dyDescent="0.3">
      <c r="A626" s="6" t="s">
        <v>2</v>
      </c>
      <c r="B626" s="6" t="s">
        <v>4</v>
      </c>
      <c r="C626" s="6" t="s">
        <v>3</v>
      </c>
      <c r="D626" s="6" t="s">
        <v>2</v>
      </c>
      <c r="E626" s="6" t="s">
        <v>3</v>
      </c>
      <c r="F626" s="6" t="s">
        <v>2</v>
      </c>
      <c r="G626" s="6" t="s">
        <v>3</v>
      </c>
      <c r="H626" s="6" t="s">
        <v>2</v>
      </c>
      <c r="I626" s="6" t="s">
        <v>3</v>
      </c>
      <c r="J626" s="6" t="s">
        <v>1</v>
      </c>
    </row>
    <row r="627" spans="1:10" x14ac:dyDescent="0.3">
      <c r="A627" s="6" t="s">
        <v>2</v>
      </c>
      <c r="B627" s="6" t="s">
        <v>4</v>
      </c>
      <c r="C627" s="6" t="s">
        <v>3</v>
      </c>
      <c r="D627" s="6" t="s">
        <v>2</v>
      </c>
      <c r="E627" s="6" t="s">
        <v>3</v>
      </c>
      <c r="F627" s="6" t="s">
        <v>2</v>
      </c>
      <c r="G627" s="6" t="s">
        <v>3</v>
      </c>
      <c r="H627" s="6" t="s">
        <v>3</v>
      </c>
      <c r="I627" s="6" t="s">
        <v>2</v>
      </c>
      <c r="J627" s="6" t="s">
        <v>1</v>
      </c>
    </row>
    <row r="628" spans="1:10" x14ac:dyDescent="0.3">
      <c r="A628" s="6" t="s">
        <v>2</v>
      </c>
      <c r="B628" s="6" t="s">
        <v>4</v>
      </c>
      <c r="C628" s="6" t="s">
        <v>3</v>
      </c>
      <c r="D628" s="6" t="s">
        <v>2</v>
      </c>
      <c r="E628" s="6" t="s">
        <v>3</v>
      </c>
      <c r="F628" s="6" t="s">
        <v>2</v>
      </c>
      <c r="G628" s="6" t="s">
        <v>3</v>
      </c>
      <c r="H628" s="6" t="s">
        <v>4</v>
      </c>
      <c r="I628" s="6" t="s">
        <v>4</v>
      </c>
      <c r="J628" s="6" t="s">
        <v>1</v>
      </c>
    </row>
    <row r="629" spans="1:10" x14ac:dyDescent="0.3">
      <c r="A629" s="6" t="s">
        <v>2</v>
      </c>
      <c r="B629" s="6" t="s">
        <v>4</v>
      </c>
      <c r="C629" s="6" t="s">
        <v>3</v>
      </c>
      <c r="D629" s="6" t="s">
        <v>2</v>
      </c>
      <c r="E629" s="6" t="s">
        <v>3</v>
      </c>
      <c r="F629" s="6" t="s">
        <v>3</v>
      </c>
      <c r="G629" s="6" t="s">
        <v>3</v>
      </c>
      <c r="H629" s="6" t="s">
        <v>2</v>
      </c>
      <c r="I629" s="6" t="s">
        <v>2</v>
      </c>
      <c r="J629" s="6" t="s">
        <v>1</v>
      </c>
    </row>
    <row r="630" spans="1:10" x14ac:dyDescent="0.3">
      <c r="A630" s="6" t="s">
        <v>2</v>
      </c>
      <c r="B630" s="6" t="s">
        <v>4</v>
      </c>
      <c r="C630" s="6" t="s">
        <v>3</v>
      </c>
      <c r="D630" s="6" t="s">
        <v>2</v>
      </c>
      <c r="E630" s="6" t="s">
        <v>3</v>
      </c>
      <c r="F630" s="6" t="s">
        <v>4</v>
      </c>
      <c r="G630" s="6" t="s">
        <v>3</v>
      </c>
      <c r="H630" s="6" t="s">
        <v>2</v>
      </c>
      <c r="I630" s="6" t="s">
        <v>4</v>
      </c>
      <c r="J630" s="6" t="s">
        <v>1</v>
      </c>
    </row>
    <row r="631" spans="1:10" x14ac:dyDescent="0.3">
      <c r="A631" s="6" t="s">
        <v>2</v>
      </c>
      <c r="B631" s="6" t="s">
        <v>4</v>
      </c>
      <c r="C631" s="6" t="s">
        <v>3</v>
      </c>
      <c r="D631" s="6" t="s">
        <v>2</v>
      </c>
      <c r="E631" s="6" t="s">
        <v>3</v>
      </c>
      <c r="F631" s="6" t="s">
        <v>4</v>
      </c>
      <c r="G631" s="6" t="s">
        <v>3</v>
      </c>
      <c r="H631" s="6" t="s">
        <v>4</v>
      </c>
      <c r="I631" s="6" t="s">
        <v>2</v>
      </c>
      <c r="J631" s="6" t="s">
        <v>1</v>
      </c>
    </row>
    <row r="632" spans="1:10" x14ac:dyDescent="0.3">
      <c r="A632" s="6" t="s">
        <v>2</v>
      </c>
      <c r="B632" s="6" t="s">
        <v>4</v>
      </c>
      <c r="C632" s="6" t="s">
        <v>3</v>
      </c>
      <c r="D632" s="6" t="s">
        <v>2</v>
      </c>
      <c r="E632" s="6" t="s">
        <v>4</v>
      </c>
      <c r="F632" s="6" t="s">
        <v>3</v>
      </c>
      <c r="G632" s="6" t="s">
        <v>4</v>
      </c>
      <c r="H632" s="6" t="s">
        <v>2</v>
      </c>
      <c r="I632" s="6" t="s">
        <v>3</v>
      </c>
      <c r="J632" s="6" t="s">
        <v>1</v>
      </c>
    </row>
    <row r="633" spans="1:10" x14ac:dyDescent="0.3">
      <c r="A633" s="6" t="s">
        <v>2</v>
      </c>
      <c r="B633" s="6" t="s">
        <v>4</v>
      </c>
      <c r="C633" s="6" t="s">
        <v>3</v>
      </c>
      <c r="D633" s="6" t="s">
        <v>3</v>
      </c>
      <c r="E633" s="6" t="s">
        <v>2</v>
      </c>
      <c r="F633" s="6" t="s">
        <v>3</v>
      </c>
      <c r="G633" s="6" t="s">
        <v>2</v>
      </c>
      <c r="H633" s="6" t="s">
        <v>2</v>
      </c>
      <c r="I633" s="6" t="s">
        <v>3</v>
      </c>
      <c r="J633" s="6" t="s">
        <v>1</v>
      </c>
    </row>
    <row r="634" spans="1:10" x14ac:dyDescent="0.3">
      <c r="A634" s="6" t="s">
        <v>2</v>
      </c>
      <c r="B634" s="6" t="s">
        <v>4</v>
      </c>
      <c r="C634" s="6" t="s">
        <v>3</v>
      </c>
      <c r="D634" s="6" t="s">
        <v>3</v>
      </c>
      <c r="E634" s="6" t="s">
        <v>3</v>
      </c>
      <c r="F634" s="6" t="s">
        <v>2</v>
      </c>
      <c r="G634" s="6" t="s">
        <v>3</v>
      </c>
      <c r="H634" s="6" t="s">
        <v>2</v>
      </c>
      <c r="I634" s="6" t="s">
        <v>2</v>
      </c>
      <c r="J634" s="6" t="s">
        <v>1</v>
      </c>
    </row>
    <row r="635" spans="1:10" x14ac:dyDescent="0.3">
      <c r="A635" s="6" t="s">
        <v>2</v>
      </c>
      <c r="B635" s="6" t="s">
        <v>4</v>
      </c>
      <c r="C635" s="6" t="s">
        <v>3</v>
      </c>
      <c r="D635" s="6" t="s">
        <v>4</v>
      </c>
      <c r="E635" s="6" t="s">
        <v>2</v>
      </c>
      <c r="F635" s="6" t="s">
        <v>3</v>
      </c>
      <c r="G635" s="6" t="s">
        <v>2</v>
      </c>
      <c r="H635" s="6" t="s">
        <v>4</v>
      </c>
      <c r="I635" s="6" t="s">
        <v>3</v>
      </c>
      <c r="J635" s="6" t="s">
        <v>1</v>
      </c>
    </row>
    <row r="636" spans="1:10" x14ac:dyDescent="0.3">
      <c r="A636" s="6" t="s">
        <v>2</v>
      </c>
      <c r="B636" s="6" t="s">
        <v>4</v>
      </c>
      <c r="C636" s="6" t="s">
        <v>3</v>
      </c>
      <c r="D636" s="6" t="s">
        <v>4</v>
      </c>
      <c r="E636" s="6" t="s">
        <v>2</v>
      </c>
      <c r="F636" s="6" t="s">
        <v>3</v>
      </c>
      <c r="G636" s="6" t="s">
        <v>4</v>
      </c>
      <c r="H636" s="6" t="s">
        <v>2</v>
      </c>
      <c r="I636" s="6" t="s">
        <v>3</v>
      </c>
      <c r="J636" s="6" t="s">
        <v>1</v>
      </c>
    </row>
    <row r="637" spans="1:10" x14ac:dyDescent="0.3">
      <c r="A637" s="6" t="s">
        <v>2</v>
      </c>
      <c r="B637" s="6" t="s">
        <v>4</v>
      </c>
      <c r="C637" s="6" t="s">
        <v>3</v>
      </c>
      <c r="D637" s="6" t="s">
        <v>4</v>
      </c>
      <c r="E637" s="6" t="s">
        <v>3</v>
      </c>
      <c r="F637" s="6" t="s">
        <v>2</v>
      </c>
      <c r="G637" s="6" t="s">
        <v>3</v>
      </c>
      <c r="H637" s="6" t="s">
        <v>2</v>
      </c>
      <c r="I637" s="6" t="s">
        <v>4</v>
      </c>
      <c r="J637" s="6" t="s">
        <v>1</v>
      </c>
    </row>
    <row r="638" spans="1:10" x14ac:dyDescent="0.3">
      <c r="A638" s="6" t="s">
        <v>2</v>
      </c>
      <c r="B638" s="6" t="s">
        <v>4</v>
      </c>
      <c r="C638" s="6" t="s">
        <v>3</v>
      </c>
      <c r="D638" s="6" t="s">
        <v>4</v>
      </c>
      <c r="E638" s="6" t="s">
        <v>3</v>
      </c>
      <c r="F638" s="6" t="s">
        <v>2</v>
      </c>
      <c r="G638" s="6" t="s">
        <v>3</v>
      </c>
      <c r="H638" s="6" t="s">
        <v>4</v>
      </c>
      <c r="I638" s="6" t="s">
        <v>2</v>
      </c>
      <c r="J638" s="6" t="s">
        <v>1</v>
      </c>
    </row>
    <row r="639" spans="1:10" x14ac:dyDescent="0.3">
      <c r="A639" s="6" t="s">
        <v>2</v>
      </c>
      <c r="B639" s="6" t="s">
        <v>4</v>
      </c>
      <c r="C639" s="6" t="s">
        <v>3</v>
      </c>
      <c r="D639" s="6" t="s">
        <v>4</v>
      </c>
      <c r="E639" s="6" t="s">
        <v>3</v>
      </c>
      <c r="F639" s="6" t="s">
        <v>4</v>
      </c>
      <c r="G639" s="6" t="s">
        <v>3</v>
      </c>
      <c r="H639" s="6" t="s">
        <v>2</v>
      </c>
      <c r="I639" s="6" t="s">
        <v>2</v>
      </c>
      <c r="J639" s="6" t="s">
        <v>1</v>
      </c>
    </row>
    <row r="640" spans="1:10" x14ac:dyDescent="0.3">
      <c r="A640" s="6" t="s">
        <v>2</v>
      </c>
      <c r="B640" s="6" t="s">
        <v>4</v>
      </c>
      <c r="C640" s="6" t="s">
        <v>3</v>
      </c>
      <c r="D640" s="6" t="s">
        <v>4</v>
      </c>
      <c r="E640" s="6" t="s">
        <v>4</v>
      </c>
      <c r="F640" s="6" t="s">
        <v>3</v>
      </c>
      <c r="G640" s="6" t="s">
        <v>2</v>
      </c>
      <c r="H640" s="6" t="s">
        <v>2</v>
      </c>
      <c r="I640" s="6" t="s">
        <v>3</v>
      </c>
      <c r="J640" s="6" t="s">
        <v>1</v>
      </c>
    </row>
    <row r="641" spans="1:10" x14ac:dyDescent="0.3">
      <c r="A641" s="6" t="s">
        <v>2</v>
      </c>
      <c r="B641" s="6" t="s">
        <v>4</v>
      </c>
      <c r="C641" s="6" t="s">
        <v>4</v>
      </c>
      <c r="D641" s="6" t="s">
        <v>2</v>
      </c>
      <c r="E641" s="6" t="s">
        <v>2</v>
      </c>
      <c r="F641" s="6" t="s">
        <v>4</v>
      </c>
      <c r="G641" s="6" t="s">
        <v>3</v>
      </c>
      <c r="H641" s="6" t="s">
        <v>3</v>
      </c>
      <c r="I641" s="6" t="s">
        <v>3</v>
      </c>
      <c r="J641" s="6" t="s">
        <v>1</v>
      </c>
    </row>
    <row r="642" spans="1:10" x14ac:dyDescent="0.3">
      <c r="A642" s="6" t="s">
        <v>2</v>
      </c>
      <c r="B642" s="6" t="s">
        <v>4</v>
      </c>
      <c r="C642" s="6" t="s">
        <v>4</v>
      </c>
      <c r="D642" s="6" t="s">
        <v>2</v>
      </c>
      <c r="E642" s="6" t="s">
        <v>4</v>
      </c>
      <c r="F642" s="6" t="s">
        <v>2</v>
      </c>
      <c r="G642" s="6" t="s">
        <v>3</v>
      </c>
      <c r="H642" s="6" t="s">
        <v>3</v>
      </c>
      <c r="I642" s="6" t="s">
        <v>3</v>
      </c>
      <c r="J642" s="6" t="s">
        <v>1</v>
      </c>
    </row>
    <row r="643" spans="1:10" x14ac:dyDescent="0.3">
      <c r="A643" s="6" t="s">
        <v>2</v>
      </c>
      <c r="B643" s="6" t="s">
        <v>4</v>
      </c>
      <c r="C643" s="6" t="s">
        <v>4</v>
      </c>
      <c r="D643" s="6" t="s">
        <v>3</v>
      </c>
      <c r="E643" s="6" t="s">
        <v>3</v>
      </c>
      <c r="F643" s="6" t="s">
        <v>3</v>
      </c>
      <c r="G643" s="6" t="s">
        <v>2</v>
      </c>
      <c r="H643" s="6" t="s">
        <v>2</v>
      </c>
      <c r="I643" s="6" t="s">
        <v>4</v>
      </c>
      <c r="J643" s="6" t="s">
        <v>1</v>
      </c>
    </row>
    <row r="644" spans="1:10" x14ac:dyDescent="0.3">
      <c r="A644" s="6" t="s">
        <v>2</v>
      </c>
      <c r="B644" s="6" t="s">
        <v>4</v>
      </c>
      <c r="C644" s="6" t="s">
        <v>4</v>
      </c>
      <c r="D644" s="6" t="s">
        <v>3</v>
      </c>
      <c r="E644" s="6" t="s">
        <v>3</v>
      </c>
      <c r="F644" s="6" t="s">
        <v>3</v>
      </c>
      <c r="G644" s="6" t="s">
        <v>2</v>
      </c>
      <c r="H644" s="6" t="s">
        <v>4</v>
      </c>
      <c r="I644" s="6" t="s">
        <v>2</v>
      </c>
      <c r="J644" s="6" t="s">
        <v>1</v>
      </c>
    </row>
    <row r="645" spans="1:10" x14ac:dyDescent="0.3">
      <c r="A645" s="6" t="s">
        <v>3</v>
      </c>
      <c r="B645" s="6" t="s">
        <v>2</v>
      </c>
      <c r="C645" s="6" t="s">
        <v>2</v>
      </c>
      <c r="D645" s="6" t="s">
        <v>2</v>
      </c>
      <c r="E645" s="6" t="s">
        <v>3</v>
      </c>
      <c r="F645" s="6" t="s">
        <v>3</v>
      </c>
      <c r="G645" s="6" t="s">
        <v>2</v>
      </c>
      <c r="H645" s="6" t="s">
        <v>4</v>
      </c>
      <c r="I645" s="6" t="s">
        <v>3</v>
      </c>
      <c r="J645" s="6" t="s">
        <v>1</v>
      </c>
    </row>
    <row r="646" spans="1:10" x14ac:dyDescent="0.3">
      <c r="A646" s="6" t="s">
        <v>3</v>
      </c>
      <c r="B646" s="6" t="s">
        <v>2</v>
      </c>
      <c r="C646" s="6" t="s">
        <v>2</v>
      </c>
      <c r="D646" s="6" t="s">
        <v>2</v>
      </c>
      <c r="E646" s="6" t="s">
        <v>3</v>
      </c>
      <c r="F646" s="6" t="s">
        <v>3</v>
      </c>
      <c r="G646" s="6" t="s">
        <v>4</v>
      </c>
      <c r="H646" s="6" t="s">
        <v>2</v>
      </c>
      <c r="I646" s="6" t="s">
        <v>3</v>
      </c>
      <c r="J646" s="6" t="s">
        <v>1</v>
      </c>
    </row>
    <row r="647" spans="1:10" x14ac:dyDescent="0.3">
      <c r="A647" s="6" t="s">
        <v>3</v>
      </c>
      <c r="B647" s="6" t="s">
        <v>2</v>
      </c>
      <c r="C647" s="6" t="s">
        <v>2</v>
      </c>
      <c r="D647" s="6" t="s">
        <v>2</v>
      </c>
      <c r="E647" s="6" t="s">
        <v>3</v>
      </c>
      <c r="F647" s="6" t="s">
        <v>4</v>
      </c>
      <c r="G647" s="6" t="s">
        <v>2</v>
      </c>
      <c r="H647" s="6" t="s">
        <v>3</v>
      </c>
      <c r="I647" s="6" t="s">
        <v>3</v>
      </c>
      <c r="J647" s="6" t="s">
        <v>1</v>
      </c>
    </row>
    <row r="648" spans="1:10" x14ac:dyDescent="0.3">
      <c r="A648" s="6" t="s">
        <v>3</v>
      </c>
      <c r="B648" s="6" t="s">
        <v>2</v>
      </c>
      <c r="C648" s="6" t="s">
        <v>2</v>
      </c>
      <c r="D648" s="6" t="s">
        <v>2</v>
      </c>
      <c r="E648" s="6" t="s">
        <v>3</v>
      </c>
      <c r="F648" s="6" t="s">
        <v>4</v>
      </c>
      <c r="G648" s="6" t="s">
        <v>3</v>
      </c>
      <c r="H648" s="6" t="s">
        <v>2</v>
      </c>
      <c r="I648" s="6" t="s">
        <v>3</v>
      </c>
      <c r="J648" s="6" t="s">
        <v>1</v>
      </c>
    </row>
    <row r="649" spans="1:10" x14ac:dyDescent="0.3">
      <c r="A649" s="6" t="s">
        <v>3</v>
      </c>
      <c r="B649" s="6" t="s">
        <v>2</v>
      </c>
      <c r="C649" s="6" t="s">
        <v>2</v>
      </c>
      <c r="D649" s="6" t="s">
        <v>2</v>
      </c>
      <c r="E649" s="6" t="s">
        <v>3</v>
      </c>
      <c r="F649" s="6" t="s">
        <v>4</v>
      </c>
      <c r="G649" s="6" t="s">
        <v>4</v>
      </c>
      <c r="H649" s="6" t="s">
        <v>4</v>
      </c>
      <c r="I649" s="6" t="s">
        <v>3</v>
      </c>
      <c r="J649" s="6" t="s">
        <v>1</v>
      </c>
    </row>
    <row r="650" spans="1:10" x14ac:dyDescent="0.3">
      <c r="A650" s="6" t="s">
        <v>3</v>
      </c>
      <c r="B650" s="6" t="s">
        <v>2</v>
      </c>
      <c r="C650" s="6" t="s">
        <v>2</v>
      </c>
      <c r="D650" s="6" t="s">
        <v>2</v>
      </c>
      <c r="E650" s="6" t="s">
        <v>4</v>
      </c>
      <c r="F650" s="6" t="s">
        <v>2</v>
      </c>
      <c r="G650" s="6" t="s">
        <v>3</v>
      </c>
      <c r="H650" s="6" t="s">
        <v>3</v>
      </c>
      <c r="I650" s="6" t="s">
        <v>3</v>
      </c>
      <c r="J650" s="6" t="s">
        <v>1</v>
      </c>
    </row>
    <row r="651" spans="1:10" x14ac:dyDescent="0.3">
      <c r="A651" s="6" t="s">
        <v>3</v>
      </c>
      <c r="B651" s="6" t="s">
        <v>2</v>
      </c>
      <c r="C651" s="6" t="s">
        <v>2</v>
      </c>
      <c r="D651" s="6" t="s">
        <v>3</v>
      </c>
      <c r="E651" s="6" t="s">
        <v>2</v>
      </c>
      <c r="F651" s="6" t="s">
        <v>2</v>
      </c>
      <c r="G651" s="6" t="s">
        <v>3</v>
      </c>
      <c r="H651" s="6" t="s">
        <v>3</v>
      </c>
      <c r="I651" s="6" t="s">
        <v>4</v>
      </c>
      <c r="J651" s="6" t="s">
        <v>1</v>
      </c>
    </row>
    <row r="652" spans="1:10" x14ac:dyDescent="0.3">
      <c r="A652" s="6" t="s">
        <v>3</v>
      </c>
      <c r="B652" s="6" t="s">
        <v>2</v>
      </c>
      <c r="C652" s="6" t="s">
        <v>2</v>
      </c>
      <c r="D652" s="6" t="s">
        <v>3</v>
      </c>
      <c r="E652" s="6" t="s">
        <v>2</v>
      </c>
      <c r="F652" s="6" t="s">
        <v>2</v>
      </c>
      <c r="G652" s="6" t="s">
        <v>3</v>
      </c>
      <c r="H652" s="6" t="s">
        <v>4</v>
      </c>
      <c r="I652" s="6" t="s">
        <v>3</v>
      </c>
      <c r="J652" s="6" t="s">
        <v>1</v>
      </c>
    </row>
    <row r="653" spans="1:10" x14ac:dyDescent="0.3">
      <c r="A653" s="6" t="s">
        <v>3</v>
      </c>
      <c r="B653" s="6" t="s">
        <v>2</v>
      </c>
      <c r="C653" s="6" t="s">
        <v>2</v>
      </c>
      <c r="D653" s="6" t="s">
        <v>3</v>
      </c>
      <c r="E653" s="6" t="s">
        <v>2</v>
      </c>
      <c r="F653" s="6" t="s">
        <v>3</v>
      </c>
      <c r="G653" s="6" t="s">
        <v>3</v>
      </c>
      <c r="H653" s="6" t="s">
        <v>4</v>
      </c>
      <c r="I653" s="6" t="s">
        <v>2</v>
      </c>
      <c r="J653" s="6" t="s">
        <v>1</v>
      </c>
    </row>
    <row r="654" spans="1:10" x14ac:dyDescent="0.3">
      <c r="A654" s="6" t="s">
        <v>3</v>
      </c>
      <c r="B654" s="6" t="s">
        <v>2</v>
      </c>
      <c r="C654" s="6" t="s">
        <v>2</v>
      </c>
      <c r="D654" s="6" t="s">
        <v>3</v>
      </c>
      <c r="E654" s="6" t="s">
        <v>2</v>
      </c>
      <c r="F654" s="6" t="s">
        <v>4</v>
      </c>
      <c r="G654" s="6" t="s">
        <v>3</v>
      </c>
      <c r="H654" s="6" t="s">
        <v>3</v>
      </c>
      <c r="I654" s="6" t="s">
        <v>2</v>
      </c>
      <c r="J654" s="6" t="s">
        <v>1</v>
      </c>
    </row>
    <row r="655" spans="1:10" x14ac:dyDescent="0.3">
      <c r="A655" s="6" t="s">
        <v>3</v>
      </c>
      <c r="B655" s="6" t="s">
        <v>2</v>
      </c>
      <c r="C655" s="6" t="s">
        <v>2</v>
      </c>
      <c r="D655" s="6" t="s">
        <v>3</v>
      </c>
      <c r="E655" s="6" t="s">
        <v>2</v>
      </c>
      <c r="F655" s="6" t="s">
        <v>4</v>
      </c>
      <c r="G655" s="6" t="s">
        <v>3</v>
      </c>
      <c r="H655" s="6" t="s">
        <v>4</v>
      </c>
      <c r="I655" s="6" t="s">
        <v>4</v>
      </c>
      <c r="J655" s="6" t="s">
        <v>1</v>
      </c>
    </row>
    <row r="656" spans="1:10" x14ac:dyDescent="0.3">
      <c r="A656" s="6" t="s">
        <v>3</v>
      </c>
      <c r="B656" s="6" t="s">
        <v>2</v>
      </c>
      <c r="C656" s="6" t="s">
        <v>2</v>
      </c>
      <c r="D656" s="6" t="s">
        <v>3</v>
      </c>
      <c r="E656" s="6" t="s">
        <v>3</v>
      </c>
      <c r="F656" s="6" t="s">
        <v>2</v>
      </c>
      <c r="G656" s="6" t="s">
        <v>2</v>
      </c>
      <c r="H656" s="6" t="s">
        <v>4</v>
      </c>
      <c r="I656" s="6" t="s">
        <v>3</v>
      </c>
      <c r="J656" s="6" t="s">
        <v>1</v>
      </c>
    </row>
    <row r="657" spans="1:10" x14ac:dyDescent="0.3">
      <c r="A657" s="6" t="s">
        <v>3</v>
      </c>
      <c r="B657" s="6" t="s">
        <v>2</v>
      </c>
      <c r="C657" s="6" t="s">
        <v>2</v>
      </c>
      <c r="D657" s="6" t="s">
        <v>3</v>
      </c>
      <c r="E657" s="6" t="s">
        <v>3</v>
      </c>
      <c r="F657" s="6" t="s">
        <v>2</v>
      </c>
      <c r="G657" s="6" t="s">
        <v>3</v>
      </c>
      <c r="H657" s="6" t="s">
        <v>2</v>
      </c>
      <c r="I657" s="6" t="s">
        <v>4</v>
      </c>
      <c r="J657" s="6" t="s">
        <v>1</v>
      </c>
    </row>
    <row r="658" spans="1:10" x14ac:dyDescent="0.3">
      <c r="A658" s="6" t="s">
        <v>3</v>
      </c>
      <c r="B658" s="6" t="s">
        <v>2</v>
      </c>
      <c r="C658" s="6" t="s">
        <v>2</v>
      </c>
      <c r="D658" s="6" t="s">
        <v>3</v>
      </c>
      <c r="E658" s="6" t="s">
        <v>3</v>
      </c>
      <c r="F658" s="6" t="s">
        <v>2</v>
      </c>
      <c r="G658" s="6" t="s">
        <v>4</v>
      </c>
      <c r="H658" s="6" t="s">
        <v>2</v>
      </c>
      <c r="I658" s="6" t="s">
        <v>3</v>
      </c>
      <c r="J658" s="6" t="s">
        <v>1</v>
      </c>
    </row>
    <row r="659" spans="1:10" x14ac:dyDescent="0.3">
      <c r="A659" s="6" t="s">
        <v>3</v>
      </c>
      <c r="B659" s="6" t="s">
        <v>2</v>
      </c>
      <c r="C659" s="6" t="s">
        <v>2</v>
      </c>
      <c r="D659" s="6" t="s">
        <v>3</v>
      </c>
      <c r="E659" s="6" t="s">
        <v>3</v>
      </c>
      <c r="F659" s="6" t="s">
        <v>3</v>
      </c>
      <c r="G659" s="6" t="s">
        <v>2</v>
      </c>
      <c r="H659" s="6" t="s">
        <v>2</v>
      </c>
      <c r="I659" s="6" t="s">
        <v>4</v>
      </c>
      <c r="J659" s="6" t="s">
        <v>1</v>
      </c>
    </row>
    <row r="660" spans="1:10" x14ac:dyDescent="0.3">
      <c r="A660" s="6" t="s">
        <v>3</v>
      </c>
      <c r="B660" s="6" t="s">
        <v>2</v>
      </c>
      <c r="C660" s="6" t="s">
        <v>2</v>
      </c>
      <c r="D660" s="6" t="s">
        <v>3</v>
      </c>
      <c r="E660" s="6" t="s">
        <v>3</v>
      </c>
      <c r="F660" s="6" t="s">
        <v>3</v>
      </c>
      <c r="G660" s="6" t="s">
        <v>2</v>
      </c>
      <c r="H660" s="6" t="s">
        <v>4</v>
      </c>
      <c r="I660" s="6" t="s">
        <v>2</v>
      </c>
      <c r="J660" s="6" t="s">
        <v>1</v>
      </c>
    </row>
    <row r="661" spans="1:10" x14ac:dyDescent="0.3">
      <c r="A661" s="6" t="s">
        <v>3</v>
      </c>
      <c r="B661" s="6" t="s">
        <v>2</v>
      </c>
      <c r="C661" s="6" t="s">
        <v>2</v>
      </c>
      <c r="D661" s="6" t="s">
        <v>3</v>
      </c>
      <c r="E661" s="6" t="s">
        <v>3</v>
      </c>
      <c r="F661" s="6" t="s">
        <v>3</v>
      </c>
      <c r="G661" s="6" t="s">
        <v>4</v>
      </c>
      <c r="H661" s="6" t="s">
        <v>2</v>
      </c>
      <c r="I661" s="6" t="s">
        <v>2</v>
      </c>
      <c r="J661" s="6" t="s">
        <v>1</v>
      </c>
    </row>
    <row r="662" spans="1:10" x14ac:dyDescent="0.3">
      <c r="A662" s="6" t="s">
        <v>3</v>
      </c>
      <c r="B662" s="6" t="s">
        <v>2</v>
      </c>
      <c r="C662" s="6" t="s">
        <v>2</v>
      </c>
      <c r="D662" s="6" t="s">
        <v>3</v>
      </c>
      <c r="E662" s="6" t="s">
        <v>3</v>
      </c>
      <c r="F662" s="6" t="s">
        <v>4</v>
      </c>
      <c r="G662" s="6" t="s">
        <v>2</v>
      </c>
      <c r="H662" s="6" t="s">
        <v>2</v>
      </c>
      <c r="I662" s="6" t="s">
        <v>3</v>
      </c>
      <c r="J662" s="6" t="s">
        <v>1</v>
      </c>
    </row>
    <row r="663" spans="1:10" x14ac:dyDescent="0.3">
      <c r="A663" s="6" t="s">
        <v>3</v>
      </c>
      <c r="B663" s="6" t="s">
        <v>2</v>
      </c>
      <c r="C663" s="6" t="s">
        <v>2</v>
      </c>
      <c r="D663" s="6" t="s">
        <v>3</v>
      </c>
      <c r="E663" s="6" t="s">
        <v>3</v>
      </c>
      <c r="F663" s="6" t="s">
        <v>4</v>
      </c>
      <c r="G663" s="6" t="s">
        <v>3</v>
      </c>
      <c r="H663" s="6" t="s">
        <v>2</v>
      </c>
      <c r="I663" s="6" t="s">
        <v>2</v>
      </c>
      <c r="J663" s="6" t="s">
        <v>1</v>
      </c>
    </row>
    <row r="664" spans="1:10" x14ac:dyDescent="0.3">
      <c r="A664" s="6" t="s">
        <v>3</v>
      </c>
      <c r="B664" s="6" t="s">
        <v>2</v>
      </c>
      <c r="C664" s="6" t="s">
        <v>2</v>
      </c>
      <c r="D664" s="6" t="s">
        <v>3</v>
      </c>
      <c r="E664" s="6" t="s">
        <v>4</v>
      </c>
      <c r="F664" s="6" t="s">
        <v>2</v>
      </c>
      <c r="G664" s="6" t="s">
        <v>3</v>
      </c>
      <c r="H664" s="6" t="s">
        <v>2</v>
      </c>
      <c r="I664" s="6" t="s">
        <v>3</v>
      </c>
      <c r="J664" s="6" t="s">
        <v>1</v>
      </c>
    </row>
    <row r="665" spans="1:10" x14ac:dyDescent="0.3">
      <c r="A665" s="6" t="s">
        <v>3</v>
      </c>
      <c r="B665" s="6" t="s">
        <v>2</v>
      </c>
      <c r="C665" s="6" t="s">
        <v>2</v>
      </c>
      <c r="D665" s="6" t="s">
        <v>4</v>
      </c>
      <c r="E665" s="6" t="s">
        <v>3</v>
      </c>
      <c r="F665" s="6" t="s">
        <v>4</v>
      </c>
      <c r="G665" s="6" t="s">
        <v>4</v>
      </c>
      <c r="H665" s="6" t="s">
        <v>2</v>
      </c>
      <c r="I665" s="6" t="s">
        <v>3</v>
      </c>
      <c r="J665" s="6" t="s">
        <v>1</v>
      </c>
    </row>
    <row r="666" spans="1:10" x14ac:dyDescent="0.3">
      <c r="A666" s="6" t="s">
        <v>3</v>
      </c>
      <c r="B666" s="6" t="s">
        <v>2</v>
      </c>
      <c r="C666" s="6" t="s">
        <v>3</v>
      </c>
      <c r="D666" s="6" t="s">
        <v>2</v>
      </c>
      <c r="E666" s="6" t="s">
        <v>2</v>
      </c>
      <c r="F666" s="6" t="s">
        <v>3</v>
      </c>
      <c r="G666" s="6" t="s">
        <v>2</v>
      </c>
      <c r="H666" s="6" t="s">
        <v>4</v>
      </c>
      <c r="I666" s="6" t="s">
        <v>3</v>
      </c>
      <c r="J666" s="6" t="s">
        <v>1</v>
      </c>
    </row>
    <row r="667" spans="1:10" x14ac:dyDescent="0.3">
      <c r="A667" s="6" t="s">
        <v>3</v>
      </c>
      <c r="B667" s="6" t="s">
        <v>2</v>
      </c>
      <c r="C667" s="6" t="s">
        <v>3</v>
      </c>
      <c r="D667" s="6" t="s">
        <v>2</v>
      </c>
      <c r="E667" s="6" t="s">
        <v>3</v>
      </c>
      <c r="F667" s="6" t="s">
        <v>2</v>
      </c>
      <c r="G667" s="6" t="s">
        <v>2</v>
      </c>
      <c r="H667" s="6" t="s">
        <v>4</v>
      </c>
      <c r="I667" s="6" t="s">
        <v>3</v>
      </c>
      <c r="J667" s="6" t="s">
        <v>1</v>
      </c>
    </row>
    <row r="668" spans="1:10" x14ac:dyDescent="0.3">
      <c r="A668" s="6" t="s">
        <v>3</v>
      </c>
      <c r="B668" s="6" t="s">
        <v>2</v>
      </c>
      <c r="C668" s="6" t="s">
        <v>3</v>
      </c>
      <c r="D668" s="6" t="s">
        <v>2</v>
      </c>
      <c r="E668" s="6" t="s">
        <v>3</v>
      </c>
      <c r="F668" s="6" t="s">
        <v>2</v>
      </c>
      <c r="G668" s="6" t="s">
        <v>3</v>
      </c>
      <c r="H668" s="6" t="s">
        <v>2</v>
      </c>
      <c r="I668" s="6" t="s">
        <v>4</v>
      </c>
      <c r="J668" s="6" t="s">
        <v>1</v>
      </c>
    </row>
    <row r="669" spans="1:10" x14ac:dyDescent="0.3">
      <c r="A669" s="6" t="s">
        <v>3</v>
      </c>
      <c r="B669" s="6" t="s">
        <v>2</v>
      </c>
      <c r="C669" s="6" t="s">
        <v>3</v>
      </c>
      <c r="D669" s="6" t="s">
        <v>2</v>
      </c>
      <c r="E669" s="6" t="s">
        <v>3</v>
      </c>
      <c r="F669" s="6" t="s">
        <v>2</v>
      </c>
      <c r="G669" s="6" t="s">
        <v>3</v>
      </c>
      <c r="H669" s="6" t="s">
        <v>4</v>
      </c>
      <c r="I669" s="6" t="s">
        <v>2</v>
      </c>
      <c r="J669" s="6" t="s">
        <v>1</v>
      </c>
    </row>
    <row r="670" spans="1:10" x14ac:dyDescent="0.3">
      <c r="A670" s="6" t="s">
        <v>3</v>
      </c>
      <c r="B670" s="6" t="s">
        <v>2</v>
      </c>
      <c r="C670" s="6" t="s">
        <v>3</v>
      </c>
      <c r="D670" s="6" t="s">
        <v>2</v>
      </c>
      <c r="E670" s="6" t="s">
        <v>3</v>
      </c>
      <c r="F670" s="6" t="s">
        <v>2</v>
      </c>
      <c r="G670" s="6" t="s">
        <v>4</v>
      </c>
      <c r="H670" s="6" t="s">
        <v>2</v>
      </c>
      <c r="I670" s="6" t="s">
        <v>3</v>
      </c>
      <c r="J670" s="6" t="s">
        <v>1</v>
      </c>
    </row>
    <row r="671" spans="1:10" x14ac:dyDescent="0.3">
      <c r="A671" s="6" t="s">
        <v>3</v>
      </c>
      <c r="B671" s="6" t="s">
        <v>2</v>
      </c>
      <c r="C671" s="6" t="s">
        <v>3</v>
      </c>
      <c r="D671" s="6" t="s">
        <v>2</v>
      </c>
      <c r="E671" s="6" t="s">
        <v>3</v>
      </c>
      <c r="F671" s="6" t="s">
        <v>4</v>
      </c>
      <c r="G671" s="6" t="s">
        <v>2</v>
      </c>
      <c r="H671" s="6" t="s">
        <v>2</v>
      </c>
      <c r="I671" s="6" t="s">
        <v>3</v>
      </c>
      <c r="J671" s="6" t="s">
        <v>1</v>
      </c>
    </row>
    <row r="672" spans="1:10" x14ac:dyDescent="0.3">
      <c r="A672" s="6" t="s">
        <v>3</v>
      </c>
      <c r="B672" s="6" t="s">
        <v>2</v>
      </c>
      <c r="C672" s="6" t="s">
        <v>3</v>
      </c>
      <c r="D672" s="6" t="s">
        <v>2</v>
      </c>
      <c r="E672" s="6" t="s">
        <v>3</v>
      </c>
      <c r="F672" s="6" t="s">
        <v>4</v>
      </c>
      <c r="G672" s="6" t="s">
        <v>3</v>
      </c>
      <c r="H672" s="6" t="s">
        <v>2</v>
      </c>
      <c r="I672" s="6" t="s">
        <v>2</v>
      </c>
      <c r="J672" s="6" t="s">
        <v>1</v>
      </c>
    </row>
    <row r="673" spans="1:10" x14ac:dyDescent="0.3">
      <c r="A673" s="6" t="s">
        <v>3</v>
      </c>
      <c r="B673" s="6" t="s">
        <v>2</v>
      </c>
      <c r="C673" s="6" t="s">
        <v>3</v>
      </c>
      <c r="D673" s="6" t="s">
        <v>2</v>
      </c>
      <c r="E673" s="6" t="s">
        <v>4</v>
      </c>
      <c r="F673" s="6" t="s">
        <v>3</v>
      </c>
      <c r="G673" s="6" t="s">
        <v>2</v>
      </c>
      <c r="H673" s="6" t="s">
        <v>2</v>
      </c>
      <c r="I673" s="6" t="s">
        <v>3</v>
      </c>
      <c r="J673" s="6" t="s">
        <v>1</v>
      </c>
    </row>
    <row r="674" spans="1:10" x14ac:dyDescent="0.3">
      <c r="A674" s="6" t="s">
        <v>3</v>
      </c>
      <c r="B674" s="6" t="s">
        <v>2</v>
      </c>
      <c r="C674" s="6" t="s">
        <v>3</v>
      </c>
      <c r="D674" s="6" t="s">
        <v>3</v>
      </c>
      <c r="E674" s="6" t="s">
        <v>2</v>
      </c>
      <c r="F674" s="6" t="s">
        <v>2</v>
      </c>
      <c r="G674" s="6" t="s">
        <v>3</v>
      </c>
      <c r="H674" s="6" t="s">
        <v>4</v>
      </c>
      <c r="I674" s="6" t="s">
        <v>2</v>
      </c>
      <c r="J674" s="6" t="s">
        <v>1</v>
      </c>
    </row>
    <row r="675" spans="1:10" x14ac:dyDescent="0.3">
      <c r="A675" s="6" t="s">
        <v>3</v>
      </c>
      <c r="B675" s="6" t="s">
        <v>2</v>
      </c>
      <c r="C675" s="6" t="s">
        <v>3</v>
      </c>
      <c r="D675" s="6" t="s">
        <v>3</v>
      </c>
      <c r="E675" s="6" t="s">
        <v>4</v>
      </c>
      <c r="F675" s="6" t="s">
        <v>2</v>
      </c>
      <c r="G675" s="6" t="s">
        <v>3</v>
      </c>
      <c r="H675" s="6" t="s">
        <v>2</v>
      </c>
      <c r="I675" s="6" t="s">
        <v>2</v>
      </c>
      <c r="J675" s="6" t="s">
        <v>1</v>
      </c>
    </row>
    <row r="676" spans="1:10" x14ac:dyDescent="0.3">
      <c r="A676" s="6" t="s">
        <v>3</v>
      </c>
      <c r="B676" s="6" t="s">
        <v>2</v>
      </c>
      <c r="C676" s="6" t="s">
        <v>3</v>
      </c>
      <c r="D676" s="6" t="s">
        <v>4</v>
      </c>
      <c r="E676" s="6" t="s">
        <v>3</v>
      </c>
      <c r="F676" s="6" t="s">
        <v>2</v>
      </c>
      <c r="G676" s="6" t="s">
        <v>2</v>
      </c>
      <c r="H676" s="6" t="s">
        <v>2</v>
      </c>
      <c r="I676" s="6" t="s">
        <v>3</v>
      </c>
      <c r="J676" s="6" t="s">
        <v>1</v>
      </c>
    </row>
    <row r="677" spans="1:10" x14ac:dyDescent="0.3">
      <c r="A677" s="6" t="s">
        <v>3</v>
      </c>
      <c r="B677" s="6" t="s">
        <v>2</v>
      </c>
      <c r="C677" s="6" t="s">
        <v>3</v>
      </c>
      <c r="D677" s="6" t="s">
        <v>4</v>
      </c>
      <c r="E677" s="6" t="s">
        <v>3</v>
      </c>
      <c r="F677" s="6" t="s">
        <v>2</v>
      </c>
      <c r="G677" s="6" t="s">
        <v>3</v>
      </c>
      <c r="H677" s="6" t="s">
        <v>2</v>
      </c>
      <c r="I677" s="6" t="s">
        <v>2</v>
      </c>
      <c r="J677" s="6" t="s">
        <v>1</v>
      </c>
    </row>
    <row r="678" spans="1:10" x14ac:dyDescent="0.3">
      <c r="A678" s="6" t="s">
        <v>3</v>
      </c>
      <c r="B678" s="6" t="s">
        <v>2</v>
      </c>
      <c r="C678" s="6" t="s">
        <v>4</v>
      </c>
      <c r="D678" s="6" t="s">
        <v>2</v>
      </c>
      <c r="E678" s="6" t="s">
        <v>3</v>
      </c>
      <c r="F678" s="6" t="s">
        <v>2</v>
      </c>
      <c r="G678" s="6" t="s">
        <v>2</v>
      </c>
      <c r="H678" s="6" t="s">
        <v>3</v>
      </c>
      <c r="I678" s="6" t="s">
        <v>3</v>
      </c>
      <c r="J678" s="6" t="s">
        <v>1</v>
      </c>
    </row>
    <row r="679" spans="1:10" x14ac:dyDescent="0.3">
      <c r="A679" s="6" t="s">
        <v>3</v>
      </c>
      <c r="B679" s="6" t="s">
        <v>2</v>
      </c>
      <c r="C679" s="6" t="s">
        <v>4</v>
      </c>
      <c r="D679" s="6" t="s">
        <v>2</v>
      </c>
      <c r="E679" s="6" t="s">
        <v>3</v>
      </c>
      <c r="F679" s="6" t="s">
        <v>2</v>
      </c>
      <c r="G679" s="6" t="s">
        <v>3</v>
      </c>
      <c r="H679" s="6" t="s">
        <v>2</v>
      </c>
      <c r="I679" s="6" t="s">
        <v>3</v>
      </c>
      <c r="J679" s="6" t="s">
        <v>1</v>
      </c>
    </row>
    <row r="680" spans="1:10" x14ac:dyDescent="0.3">
      <c r="A680" s="6" t="s">
        <v>3</v>
      </c>
      <c r="B680" s="6" t="s">
        <v>2</v>
      </c>
      <c r="C680" s="6" t="s">
        <v>4</v>
      </c>
      <c r="D680" s="6" t="s">
        <v>2</v>
      </c>
      <c r="E680" s="6" t="s">
        <v>3</v>
      </c>
      <c r="F680" s="6" t="s">
        <v>2</v>
      </c>
      <c r="G680" s="6" t="s">
        <v>4</v>
      </c>
      <c r="H680" s="6" t="s">
        <v>4</v>
      </c>
      <c r="I680" s="6" t="s">
        <v>3</v>
      </c>
      <c r="J680" s="6" t="s">
        <v>1</v>
      </c>
    </row>
    <row r="681" spans="1:10" x14ac:dyDescent="0.3">
      <c r="A681" s="6" t="s">
        <v>3</v>
      </c>
      <c r="B681" s="6" t="s">
        <v>2</v>
      </c>
      <c r="C681" s="6" t="s">
        <v>4</v>
      </c>
      <c r="D681" s="6" t="s">
        <v>2</v>
      </c>
      <c r="E681" s="6" t="s">
        <v>3</v>
      </c>
      <c r="F681" s="6" t="s">
        <v>3</v>
      </c>
      <c r="G681" s="6" t="s">
        <v>2</v>
      </c>
      <c r="H681" s="6" t="s">
        <v>2</v>
      </c>
      <c r="I681" s="6" t="s">
        <v>3</v>
      </c>
      <c r="J681" s="6" t="s">
        <v>1</v>
      </c>
    </row>
    <row r="682" spans="1:10" x14ac:dyDescent="0.3">
      <c r="A682" s="6" t="s">
        <v>3</v>
      </c>
      <c r="B682" s="6" t="s">
        <v>2</v>
      </c>
      <c r="C682" s="6" t="s">
        <v>4</v>
      </c>
      <c r="D682" s="6" t="s">
        <v>2</v>
      </c>
      <c r="E682" s="6" t="s">
        <v>3</v>
      </c>
      <c r="F682" s="6" t="s">
        <v>4</v>
      </c>
      <c r="G682" s="6" t="s">
        <v>2</v>
      </c>
      <c r="H682" s="6" t="s">
        <v>4</v>
      </c>
      <c r="I682" s="6" t="s">
        <v>3</v>
      </c>
      <c r="J682" s="6" t="s">
        <v>1</v>
      </c>
    </row>
    <row r="683" spans="1:10" x14ac:dyDescent="0.3">
      <c r="A683" s="6" t="s">
        <v>3</v>
      </c>
      <c r="B683" s="6" t="s">
        <v>2</v>
      </c>
      <c r="C683" s="6" t="s">
        <v>4</v>
      </c>
      <c r="D683" s="6" t="s">
        <v>2</v>
      </c>
      <c r="E683" s="6" t="s">
        <v>3</v>
      </c>
      <c r="F683" s="6" t="s">
        <v>4</v>
      </c>
      <c r="G683" s="6" t="s">
        <v>4</v>
      </c>
      <c r="H683" s="6" t="s">
        <v>2</v>
      </c>
      <c r="I683" s="6" t="s">
        <v>3</v>
      </c>
      <c r="J683" s="6" t="s">
        <v>1</v>
      </c>
    </row>
    <row r="684" spans="1:10" x14ac:dyDescent="0.3">
      <c r="A684" s="6" t="s">
        <v>3</v>
      </c>
      <c r="B684" s="6" t="s">
        <v>2</v>
      </c>
      <c r="C684" s="6" t="s">
        <v>4</v>
      </c>
      <c r="D684" s="6" t="s">
        <v>3</v>
      </c>
      <c r="E684" s="6" t="s">
        <v>2</v>
      </c>
      <c r="F684" s="6" t="s">
        <v>2</v>
      </c>
      <c r="G684" s="6" t="s">
        <v>3</v>
      </c>
      <c r="H684" s="6" t="s">
        <v>3</v>
      </c>
      <c r="I684" s="6" t="s">
        <v>2</v>
      </c>
      <c r="J684" s="6" t="s">
        <v>1</v>
      </c>
    </row>
    <row r="685" spans="1:10" x14ac:dyDescent="0.3">
      <c r="A685" s="6" t="s">
        <v>3</v>
      </c>
      <c r="B685" s="6" t="s">
        <v>2</v>
      </c>
      <c r="C685" s="6" t="s">
        <v>4</v>
      </c>
      <c r="D685" s="6" t="s">
        <v>3</v>
      </c>
      <c r="E685" s="6" t="s">
        <v>2</v>
      </c>
      <c r="F685" s="6" t="s">
        <v>2</v>
      </c>
      <c r="G685" s="6" t="s">
        <v>3</v>
      </c>
      <c r="H685" s="6" t="s">
        <v>4</v>
      </c>
      <c r="I685" s="6" t="s">
        <v>4</v>
      </c>
      <c r="J685" s="6" t="s">
        <v>1</v>
      </c>
    </row>
    <row r="686" spans="1:10" x14ac:dyDescent="0.3">
      <c r="A686" s="6" t="s">
        <v>3</v>
      </c>
      <c r="B686" s="6" t="s">
        <v>2</v>
      </c>
      <c r="C686" s="6" t="s">
        <v>4</v>
      </c>
      <c r="D686" s="6" t="s">
        <v>3</v>
      </c>
      <c r="E686" s="6" t="s">
        <v>2</v>
      </c>
      <c r="F686" s="6" t="s">
        <v>4</v>
      </c>
      <c r="G686" s="6" t="s">
        <v>3</v>
      </c>
      <c r="H686" s="6" t="s">
        <v>4</v>
      </c>
      <c r="I686" s="6" t="s">
        <v>2</v>
      </c>
      <c r="J686" s="6" t="s">
        <v>1</v>
      </c>
    </row>
    <row r="687" spans="1:10" x14ac:dyDescent="0.3">
      <c r="A687" s="6" t="s">
        <v>3</v>
      </c>
      <c r="B687" s="6" t="s">
        <v>2</v>
      </c>
      <c r="C687" s="6" t="s">
        <v>4</v>
      </c>
      <c r="D687" s="6" t="s">
        <v>3</v>
      </c>
      <c r="E687" s="6" t="s">
        <v>3</v>
      </c>
      <c r="F687" s="6" t="s">
        <v>2</v>
      </c>
      <c r="G687" s="6" t="s">
        <v>2</v>
      </c>
      <c r="H687" s="6" t="s">
        <v>2</v>
      </c>
      <c r="I687" s="6" t="s">
        <v>3</v>
      </c>
      <c r="J687" s="6" t="s">
        <v>1</v>
      </c>
    </row>
    <row r="688" spans="1:10" x14ac:dyDescent="0.3">
      <c r="A688" s="6" t="s">
        <v>3</v>
      </c>
      <c r="B688" s="6" t="s">
        <v>2</v>
      </c>
      <c r="C688" s="6" t="s">
        <v>4</v>
      </c>
      <c r="D688" s="6" t="s">
        <v>3</v>
      </c>
      <c r="E688" s="6" t="s">
        <v>3</v>
      </c>
      <c r="F688" s="6" t="s">
        <v>2</v>
      </c>
      <c r="G688" s="6" t="s">
        <v>3</v>
      </c>
      <c r="H688" s="6" t="s">
        <v>2</v>
      </c>
      <c r="I688" s="6" t="s">
        <v>2</v>
      </c>
      <c r="J688" s="6" t="s">
        <v>1</v>
      </c>
    </row>
    <row r="689" spans="1:10" x14ac:dyDescent="0.3">
      <c r="A689" s="6" t="s">
        <v>3</v>
      </c>
      <c r="B689" s="6" t="s">
        <v>2</v>
      </c>
      <c r="C689" s="6" t="s">
        <v>4</v>
      </c>
      <c r="D689" s="6" t="s">
        <v>3</v>
      </c>
      <c r="E689" s="6" t="s">
        <v>4</v>
      </c>
      <c r="F689" s="6" t="s">
        <v>2</v>
      </c>
      <c r="G689" s="6" t="s">
        <v>3</v>
      </c>
      <c r="H689" s="6" t="s">
        <v>2</v>
      </c>
      <c r="I689" s="6" t="s">
        <v>4</v>
      </c>
      <c r="J689" s="6" t="s">
        <v>1</v>
      </c>
    </row>
    <row r="690" spans="1:10" x14ac:dyDescent="0.3">
      <c r="A690" s="6" t="s">
        <v>3</v>
      </c>
      <c r="B690" s="6" t="s">
        <v>2</v>
      </c>
      <c r="C690" s="6" t="s">
        <v>4</v>
      </c>
      <c r="D690" s="6" t="s">
        <v>3</v>
      </c>
      <c r="E690" s="6" t="s">
        <v>4</v>
      </c>
      <c r="F690" s="6" t="s">
        <v>2</v>
      </c>
      <c r="G690" s="6" t="s">
        <v>3</v>
      </c>
      <c r="H690" s="6" t="s">
        <v>4</v>
      </c>
      <c r="I690" s="6" t="s">
        <v>2</v>
      </c>
      <c r="J690" s="6" t="s">
        <v>1</v>
      </c>
    </row>
    <row r="691" spans="1:10" x14ac:dyDescent="0.3">
      <c r="A691" s="6" t="s">
        <v>3</v>
      </c>
      <c r="B691" s="6" t="s">
        <v>2</v>
      </c>
      <c r="C691" s="6" t="s">
        <v>4</v>
      </c>
      <c r="D691" s="6" t="s">
        <v>3</v>
      </c>
      <c r="E691" s="6" t="s">
        <v>4</v>
      </c>
      <c r="F691" s="6" t="s">
        <v>4</v>
      </c>
      <c r="G691" s="6" t="s">
        <v>3</v>
      </c>
      <c r="H691" s="6" t="s">
        <v>2</v>
      </c>
      <c r="I691" s="6" t="s">
        <v>2</v>
      </c>
      <c r="J691" s="6" t="s">
        <v>1</v>
      </c>
    </row>
    <row r="692" spans="1:10" x14ac:dyDescent="0.3">
      <c r="A692" s="6" t="s">
        <v>3</v>
      </c>
      <c r="B692" s="6" t="s">
        <v>2</v>
      </c>
      <c r="C692" s="6" t="s">
        <v>4</v>
      </c>
      <c r="D692" s="6" t="s">
        <v>4</v>
      </c>
      <c r="E692" s="6" t="s">
        <v>3</v>
      </c>
      <c r="F692" s="6" t="s">
        <v>2</v>
      </c>
      <c r="G692" s="6" t="s">
        <v>2</v>
      </c>
      <c r="H692" s="6" t="s">
        <v>4</v>
      </c>
      <c r="I692" s="6" t="s">
        <v>3</v>
      </c>
      <c r="J692" s="6" t="s">
        <v>1</v>
      </c>
    </row>
    <row r="693" spans="1:10" x14ac:dyDescent="0.3">
      <c r="A693" s="6" t="s">
        <v>3</v>
      </c>
      <c r="B693" s="6" t="s">
        <v>2</v>
      </c>
      <c r="C693" s="6" t="s">
        <v>4</v>
      </c>
      <c r="D693" s="6" t="s">
        <v>4</v>
      </c>
      <c r="E693" s="6" t="s">
        <v>3</v>
      </c>
      <c r="F693" s="6" t="s">
        <v>2</v>
      </c>
      <c r="G693" s="6" t="s">
        <v>4</v>
      </c>
      <c r="H693" s="6" t="s">
        <v>2</v>
      </c>
      <c r="I693" s="6" t="s">
        <v>3</v>
      </c>
      <c r="J693" s="6" t="s">
        <v>1</v>
      </c>
    </row>
    <row r="694" spans="1:10" x14ac:dyDescent="0.3">
      <c r="A694" s="6" t="s">
        <v>3</v>
      </c>
      <c r="B694" s="6" t="s">
        <v>2</v>
      </c>
      <c r="C694" s="6" t="s">
        <v>4</v>
      </c>
      <c r="D694" s="6" t="s">
        <v>4</v>
      </c>
      <c r="E694" s="6" t="s">
        <v>3</v>
      </c>
      <c r="F694" s="6" t="s">
        <v>4</v>
      </c>
      <c r="G694" s="6" t="s">
        <v>2</v>
      </c>
      <c r="H694" s="6" t="s">
        <v>2</v>
      </c>
      <c r="I694" s="6" t="s">
        <v>3</v>
      </c>
      <c r="J694" s="6" t="s">
        <v>1</v>
      </c>
    </row>
    <row r="695" spans="1:10" x14ac:dyDescent="0.3">
      <c r="A695" s="6" t="s">
        <v>3</v>
      </c>
      <c r="B695" s="6" t="s">
        <v>3</v>
      </c>
      <c r="C695" s="6" t="s">
        <v>2</v>
      </c>
      <c r="D695" s="6" t="s">
        <v>2</v>
      </c>
      <c r="E695" s="6" t="s">
        <v>3</v>
      </c>
      <c r="F695" s="6" t="s">
        <v>2</v>
      </c>
      <c r="G695" s="6" t="s">
        <v>2</v>
      </c>
      <c r="H695" s="6" t="s">
        <v>3</v>
      </c>
      <c r="I695" s="6" t="s">
        <v>4</v>
      </c>
      <c r="J695" s="6" t="s">
        <v>1</v>
      </c>
    </row>
    <row r="696" spans="1:10" x14ac:dyDescent="0.3">
      <c r="A696" s="6" t="s">
        <v>3</v>
      </c>
      <c r="B696" s="6" t="s">
        <v>3</v>
      </c>
      <c r="C696" s="6" t="s">
        <v>2</v>
      </c>
      <c r="D696" s="6" t="s">
        <v>2</v>
      </c>
      <c r="E696" s="6" t="s">
        <v>3</v>
      </c>
      <c r="F696" s="6" t="s">
        <v>2</v>
      </c>
      <c r="G696" s="6" t="s">
        <v>2</v>
      </c>
      <c r="H696" s="6" t="s">
        <v>4</v>
      </c>
      <c r="I696" s="6" t="s">
        <v>3</v>
      </c>
      <c r="J696" s="6" t="s">
        <v>1</v>
      </c>
    </row>
    <row r="697" spans="1:10" x14ac:dyDescent="0.3">
      <c r="A697" s="6" t="s">
        <v>3</v>
      </c>
      <c r="B697" s="6" t="s">
        <v>3</v>
      </c>
      <c r="C697" s="6" t="s">
        <v>2</v>
      </c>
      <c r="D697" s="6" t="s">
        <v>2</v>
      </c>
      <c r="E697" s="6" t="s">
        <v>3</v>
      </c>
      <c r="F697" s="6" t="s">
        <v>2</v>
      </c>
      <c r="G697" s="6" t="s">
        <v>4</v>
      </c>
      <c r="H697" s="6" t="s">
        <v>2</v>
      </c>
      <c r="I697" s="6" t="s">
        <v>3</v>
      </c>
      <c r="J697" s="6" t="s">
        <v>1</v>
      </c>
    </row>
    <row r="698" spans="1:10" x14ac:dyDescent="0.3">
      <c r="A698" s="6" t="s">
        <v>3</v>
      </c>
      <c r="B698" s="6" t="s">
        <v>3</v>
      </c>
      <c r="C698" s="6" t="s">
        <v>2</v>
      </c>
      <c r="D698" s="6" t="s">
        <v>2</v>
      </c>
      <c r="E698" s="6" t="s">
        <v>3</v>
      </c>
      <c r="F698" s="6" t="s">
        <v>4</v>
      </c>
      <c r="G698" s="6" t="s">
        <v>2</v>
      </c>
      <c r="H698" s="6" t="s">
        <v>2</v>
      </c>
      <c r="I698" s="6" t="s">
        <v>3</v>
      </c>
      <c r="J698" s="6" t="s">
        <v>1</v>
      </c>
    </row>
    <row r="699" spans="1:10" x14ac:dyDescent="0.3">
      <c r="A699" s="6" t="s">
        <v>3</v>
      </c>
      <c r="B699" s="6" t="s">
        <v>3</v>
      </c>
      <c r="C699" s="6" t="s">
        <v>2</v>
      </c>
      <c r="D699" s="6" t="s">
        <v>2</v>
      </c>
      <c r="E699" s="6" t="s">
        <v>3</v>
      </c>
      <c r="F699" s="6" t="s">
        <v>4</v>
      </c>
      <c r="G699" s="6" t="s">
        <v>2</v>
      </c>
      <c r="H699" s="6" t="s">
        <v>3</v>
      </c>
      <c r="I699" s="6" t="s">
        <v>2</v>
      </c>
      <c r="J699" s="6" t="s">
        <v>1</v>
      </c>
    </row>
    <row r="700" spans="1:10" x14ac:dyDescent="0.3">
      <c r="A700" s="6" t="s">
        <v>3</v>
      </c>
      <c r="B700" s="6" t="s">
        <v>3</v>
      </c>
      <c r="C700" s="6" t="s">
        <v>2</v>
      </c>
      <c r="D700" s="6" t="s">
        <v>3</v>
      </c>
      <c r="E700" s="6" t="s">
        <v>2</v>
      </c>
      <c r="F700" s="6" t="s">
        <v>2</v>
      </c>
      <c r="G700" s="6" t="s">
        <v>3</v>
      </c>
      <c r="H700" s="6" t="s">
        <v>2</v>
      </c>
      <c r="I700" s="6" t="s">
        <v>4</v>
      </c>
      <c r="J700" s="6" t="s">
        <v>1</v>
      </c>
    </row>
    <row r="701" spans="1:10" x14ac:dyDescent="0.3">
      <c r="A701" s="6" t="s">
        <v>3</v>
      </c>
      <c r="B701" s="6" t="s">
        <v>3</v>
      </c>
      <c r="C701" s="6" t="s">
        <v>2</v>
      </c>
      <c r="D701" s="6" t="s">
        <v>3</v>
      </c>
      <c r="E701" s="6" t="s">
        <v>2</v>
      </c>
      <c r="F701" s="6" t="s">
        <v>4</v>
      </c>
      <c r="G701" s="6" t="s">
        <v>3</v>
      </c>
      <c r="H701" s="6" t="s">
        <v>2</v>
      </c>
      <c r="I701" s="6" t="s">
        <v>2</v>
      </c>
      <c r="J701" s="6" t="s">
        <v>1</v>
      </c>
    </row>
    <row r="702" spans="1:10" x14ac:dyDescent="0.3">
      <c r="A702" s="6" t="s">
        <v>3</v>
      </c>
      <c r="B702" s="6" t="s">
        <v>3</v>
      </c>
      <c r="C702" s="6" t="s">
        <v>2</v>
      </c>
      <c r="D702" s="6" t="s">
        <v>4</v>
      </c>
      <c r="E702" s="6" t="s">
        <v>3</v>
      </c>
      <c r="F702" s="6" t="s">
        <v>2</v>
      </c>
      <c r="G702" s="6" t="s">
        <v>2</v>
      </c>
      <c r="H702" s="6" t="s">
        <v>2</v>
      </c>
      <c r="I702" s="6" t="s">
        <v>3</v>
      </c>
      <c r="J702" s="6" t="s">
        <v>1</v>
      </c>
    </row>
    <row r="703" spans="1:10" x14ac:dyDescent="0.3">
      <c r="A703" s="6" t="s">
        <v>3</v>
      </c>
      <c r="B703" s="6" t="s">
        <v>3</v>
      </c>
      <c r="C703" s="6" t="s">
        <v>3</v>
      </c>
      <c r="D703" s="6" t="s">
        <v>2</v>
      </c>
      <c r="E703" s="6" t="s">
        <v>2</v>
      </c>
      <c r="F703" s="6" t="s">
        <v>3</v>
      </c>
      <c r="G703" s="6" t="s">
        <v>2</v>
      </c>
      <c r="H703" s="6" t="s">
        <v>2</v>
      </c>
      <c r="I703" s="6" t="s">
        <v>4</v>
      </c>
      <c r="J703" s="6" t="s">
        <v>1</v>
      </c>
    </row>
    <row r="704" spans="1:10" x14ac:dyDescent="0.3">
      <c r="A704" s="6" t="s">
        <v>3</v>
      </c>
      <c r="B704" s="6" t="s">
        <v>3</v>
      </c>
      <c r="C704" s="6" t="s">
        <v>3</v>
      </c>
      <c r="D704" s="6" t="s">
        <v>2</v>
      </c>
      <c r="E704" s="6" t="s">
        <v>2</v>
      </c>
      <c r="F704" s="6" t="s">
        <v>3</v>
      </c>
      <c r="G704" s="6" t="s">
        <v>2</v>
      </c>
      <c r="H704" s="6" t="s">
        <v>4</v>
      </c>
      <c r="I704" s="6" t="s">
        <v>2</v>
      </c>
      <c r="J704" s="6" t="s">
        <v>1</v>
      </c>
    </row>
    <row r="705" spans="1:10" x14ac:dyDescent="0.3">
      <c r="A705" s="6" t="s">
        <v>3</v>
      </c>
      <c r="B705" s="6" t="s">
        <v>3</v>
      </c>
      <c r="C705" s="6" t="s">
        <v>3</v>
      </c>
      <c r="D705" s="6" t="s">
        <v>2</v>
      </c>
      <c r="E705" s="6" t="s">
        <v>2</v>
      </c>
      <c r="F705" s="6" t="s">
        <v>3</v>
      </c>
      <c r="G705" s="6" t="s">
        <v>4</v>
      </c>
      <c r="H705" s="6" t="s">
        <v>2</v>
      </c>
      <c r="I705" s="6" t="s">
        <v>2</v>
      </c>
      <c r="J705" s="6" t="s">
        <v>1</v>
      </c>
    </row>
    <row r="706" spans="1:10" x14ac:dyDescent="0.3">
      <c r="A706" s="6" t="s">
        <v>3</v>
      </c>
      <c r="B706" s="6" t="s">
        <v>3</v>
      </c>
      <c r="C706" s="6" t="s">
        <v>3</v>
      </c>
      <c r="D706" s="6" t="s">
        <v>2</v>
      </c>
      <c r="E706" s="6" t="s">
        <v>2</v>
      </c>
      <c r="F706" s="6" t="s">
        <v>4</v>
      </c>
      <c r="G706" s="6" t="s">
        <v>2</v>
      </c>
      <c r="H706" s="6" t="s">
        <v>2</v>
      </c>
      <c r="I706" s="6" t="s">
        <v>3</v>
      </c>
      <c r="J706" s="6" t="s">
        <v>1</v>
      </c>
    </row>
    <row r="707" spans="1:10" x14ac:dyDescent="0.3">
      <c r="A707" s="6" t="s">
        <v>3</v>
      </c>
      <c r="B707" s="6" t="s">
        <v>3</v>
      </c>
      <c r="C707" s="6" t="s">
        <v>3</v>
      </c>
      <c r="D707" s="6" t="s">
        <v>2</v>
      </c>
      <c r="E707" s="6" t="s">
        <v>2</v>
      </c>
      <c r="F707" s="6" t="s">
        <v>4</v>
      </c>
      <c r="G707" s="6" t="s">
        <v>2</v>
      </c>
      <c r="H707" s="6" t="s">
        <v>3</v>
      </c>
      <c r="I707" s="6" t="s">
        <v>2</v>
      </c>
      <c r="J707" s="6" t="s">
        <v>1</v>
      </c>
    </row>
    <row r="708" spans="1:10" x14ac:dyDescent="0.3">
      <c r="A708" s="6" t="s">
        <v>3</v>
      </c>
      <c r="B708" s="6" t="s">
        <v>3</v>
      </c>
      <c r="C708" s="6" t="s">
        <v>3</v>
      </c>
      <c r="D708" s="6" t="s">
        <v>2</v>
      </c>
      <c r="E708" s="6" t="s">
        <v>2</v>
      </c>
      <c r="F708" s="6" t="s">
        <v>4</v>
      </c>
      <c r="G708" s="6" t="s">
        <v>2</v>
      </c>
      <c r="H708" s="6" t="s">
        <v>4</v>
      </c>
      <c r="I708" s="6" t="s">
        <v>4</v>
      </c>
      <c r="J708" s="6" t="s">
        <v>1</v>
      </c>
    </row>
    <row r="709" spans="1:10" x14ac:dyDescent="0.3">
      <c r="A709" s="6" t="s">
        <v>3</v>
      </c>
      <c r="B709" s="6" t="s">
        <v>3</v>
      </c>
      <c r="C709" s="6" t="s">
        <v>3</v>
      </c>
      <c r="D709" s="6" t="s">
        <v>2</v>
      </c>
      <c r="E709" s="6" t="s">
        <v>2</v>
      </c>
      <c r="F709" s="6" t="s">
        <v>4</v>
      </c>
      <c r="G709" s="6" t="s">
        <v>3</v>
      </c>
      <c r="H709" s="6" t="s">
        <v>2</v>
      </c>
      <c r="I709" s="6" t="s">
        <v>2</v>
      </c>
      <c r="J709" s="6" t="s">
        <v>1</v>
      </c>
    </row>
    <row r="710" spans="1:10" x14ac:dyDescent="0.3">
      <c r="A710" s="6" t="s">
        <v>3</v>
      </c>
      <c r="B710" s="6" t="s">
        <v>3</v>
      </c>
      <c r="C710" s="6" t="s">
        <v>3</v>
      </c>
      <c r="D710" s="6" t="s">
        <v>2</v>
      </c>
      <c r="E710" s="6" t="s">
        <v>2</v>
      </c>
      <c r="F710" s="6" t="s">
        <v>4</v>
      </c>
      <c r="G710" s="6" t="s">
        <v>4</v>
      </c>
      <c r="H710" s="6" t="s">
        <v>2</v>
      </c>
      <c r="I710" s="6" t="s">
        <v>4</v>
      </c>
      <c r="J710" s="6" t="s">
        <v>1</v>
      </c>
    </row>
    <row r="711" spans="1:10" x14ac:dyDescent="0.3">
      <c r="A711" s="6" t="s">
        <v>3</v>
      </c>
      <c r="B711" s="6" t="s">
        <v>3</v>
      </c>
      <c r="C711" s="6" t="s">
        <v>3</v>
      </c>
      <c r="D711" s="6" t="s">
        <v>2</v>
      </c>
      <c r="E711" s="6" t="s">
        <v>2</v>
      </c>
      <c r="F711" s="6" t="s">
        <v>4</v>
      </c>
      <c r="G711" s="6" t="s">
        <v>4</v>
      </c>
      <c r="H711" s="6" t="s">
        <v>4</v>
      </c>
      <c r="I711" s="6" t="s">
        <v>2</v>
      </c>
      <c r="J711" s="6" t="s">
        <v>1</v>
      </c>
    </row>
    <row r="712" spans="1:10" x14ac:dyDescent="0.3">
      <c r="A712" s="6" t="s">
        <v>3</v>
      </c>
      <c r="B712" s="6" t="s">
        <v>3</v>
      </c>
      <c r="C712" s="6" t="s">
        <v>3</v>
      </c>
      <c r="D712" s="6" t="s">
        <v>2</v>
      </c>
      <c r="E712" s="6" t="s">
        <v>3</v>
      </c>
      <c r="F712" s="6" t="s">
        <v>2</v>
      </c>
      <c r="G712" s="6" t="s">
        <v>2</v>
      </c>
      <c r="H712" s="6" t="s">
        <v>2</v>
      </c>
      <c r="I712" s="6" t="s">
        <v>4</v>
      </c>
      <c r="J712" s="6" t="s">
        <v>1</v>
      </c>
    </row>
    <row r="713" spans="1:10" x14ac:dyDescent="0.3">
      <c r="A713" s="6" t="s">
        <v>3</v>
      </c>
      <c r="B713" s="6" t="s">
        <v>3</v>
      </c>
      <c r="C713" s="6" t="s">
        <v>3</v>
      </c>
      <c r="D713" s="6" t="s">
        <v>2</v>
      </c>
      <c r="E713" s="6" t="s">
        <v>3</v>
      </c>
      <c r="F713" s="6" t="s">
        <v>2</v>
      </c>
      <c r="G713" s="6" t="s">
        <v>2</v>
      </c>
      <c r="H713" s="6" t="s">
        <v>4</v>
      </c>
      <c r="I713" s="6" t="s">
        <v>2</v>
      </c>
      <c r="J713" s="6" t="s">
        <v>1</v>
      </c>
    </row>
    <row r="714" spans="1:10" x14ac:dyDescent="0.3">
      <c r="A714" s="6" t="s">
        <v>3</v>
      </c>
      <c r="B714" s="6" t="s">
        <v>3</v>
      </c>
      <c r="C714" s="6" t="s">
        <v>3</v>
      </c>
      <c r="D714" s="6" t="s">
        <v>2</v>
      </c>
      <c r="E714" s="6" t="s">
        <v>3</v>
      </c>
      <c r="F714" s="6" t="s">
        <v>2</v>
      </c>
      <c r="G714" s="6" t="s">
        <v>4</v>
      </c>
      <c r="H714" s="6" t="s">
        <v>2</v>
      </c>
      <c r="I714" s="6" t="s">
        <v>2</v>
      </c>
      <c r="J714" s="6" t="s">
        <v>1</v>
      </c>
    </row>
    <row r="715" spans="1:10" x14ac:dyDescent="0.3">
      <c r="A715" s="6" t="s">
        <v>3</v>
      </c>
      <c r="B715" s="6" t="s">
        <v>3</v>
      </c>
      <c r="C715" s="6" t="s">
        <v>3</v>
      </c>
      <c r="D715" s="6" t="s">
        <v>2</v>
      </c>
      <c r="E715" s="6" t="s">
        <v>4</v>
      </c>
      <c r="F715" s="6" t="s">
        <v>2</v>
      </c>
      <c r="G715" s="6" t="s">
        <v>2</v>
      </c>
      <c r="H715" s="6" t="s">
        <v>2</v>
      </c>
      <c r="I715" s="6" t="s">
        <v>3</v>
      </c>
      <c r="J715" s="6" t="s">
        <v>1</v>
      </c>
    </row>
    <row r="716" spans="1:10" x14ac:dyDescent="0.3">
      <c r="A716" s="6" t="s">
        <v>3</v>
      </c>
      <c r="B716" s="6" t="s">
        <v>3</v>
      </c>
      <c r="C716" s="6" t="s">
        <v>3</v>
      </c>
      <c r="D716" s="6" t="s">
        <v>2</v>
      </c>
      <c r="E716" s="6" t="s">
        <v>4</v>
      </c>
      <c r="F716" s="6" t="s">
        <v>2</v>
      </c>
      <c r="G716" s="6" t="s">
        <v>2</v>
      </c>
      <c r="H716" s="6" t="s">
        <v>3</v>
      </c>
      <c r="I716" s="6" t="s">
        <v>2</v>
      </c>
      <c r="J716" s="6" t="s">
        <v>1</v>
      </c>
    </row>
    <row r="717" spans="1:10" x14ac:dyDescent="0.3">
      <c r="A717" s="6" t="s">
        <v>3</v>
      </c>
      <c r="B717" s="6" t="s">
        <v>3</v>
      </c>
      <c r="C717" s="6" t="s">
        <v>3</v>
      </c>
      <c r="D717" s="6" t="s">
        <v>2</v>
      </c>
      <c r="E717" s="6" t="s">
        <v>4</v>
      </c>
      <c r="F717" s="6" t="s">
        <v>2</v>
      </c>
      <c r="G717" s="6" t="s">
        <v>2</v>
      </c>
      <c r="H717" s="6" t="s">
        <v>4</v>
      </c>
      <c r="I717" s="6" t="s">
        <v>4</v>
      </c>
      <c r="J717" s="6" t="s">
        <v>1</v>
      </c>
    </row>
    <row r="718" spans="1:10" x14ac:dyDescent="0.3">
      <c r="A718" s="6" t="s">
        <v>3</v>
      </c>
      <c r="B718" s="6" t="s">
        <v>3</v>
      </c>
      <c r="C718" s="6" t="s">
        <v>3</v>
      </c>
      <c r="D718" s="6" t="s">
        <v>2</v>
      </c>
      <c r="E718" s="6" t="s">
        <v>4</v>
      </c>
      <c r="F718" s="6" t="s">
        <v>2</v>
      </c>
      <c r="G718" s="6" t="s">
        <v>3</v>
      </c>
      <c r="H718" s="6" t="s">
        <v>2</v>
      </c>
      <c r="I718" s="6" t="s">
        <v>2</v>
      </c>
      <c r="J718" s="6" t="s">
        <v>1</v>
      </c>
    </row>
    <row r="719" spans="1:10" x14ac:dyDescent="0.3">
      <c r="A719" s="6" t="s">
        <v>3</v>
      </c>
      <c r="B719" s="6" t="s">
        <v>3</v>
      </c>
      <c r="C719" s="6" t="s">
        <v>3</v>
      </c>
      <c r="D719" s="6" t="s">
        <v>2</v>
      </c>
      <c r="E719" s="6" t="s">
        <v>4</v>
      </c>
      <c r="F719" s="6" t="s">
        <v>2</v>
      </c>
      <c r="G719" s="6" t="s">
        <v>4</v>
      </c>
      <c r="H719" s="6" t="s">
        <v>2</v>
      </c>
      <c r="I719" s="6" t="s">
        <v>4</v>
      </c>
      <c r="J719" s="6" t="s">
        <v>1</v>
      </c>
    </row>
    <row r="720" spans="1:10" x14ac:dyDescent="0.3">
      <c r="A720" s="6" t="s">
        <v>3</v>
      </c>
      <c r="B720" s="6" t="s">
        <v>3</v>
      </c>
      <c r="C720" s="6" t="s">
        <v>3</v>
      </c>
      <c r="D720" s="6" t="s">
        <v>2</v>
      </c>
      <c r="E720" s="6" t="s">
        <v>4</v>
      </c>
      <c r="F720" s="6" t="s">
        <v>2</v>
      </c>
      <c r="G720" s="6" t="s">
        <v>4</v>
      </c>
      <c r="H720" s="6" t="s">
        <v>4</v>
      </c>
      <c r="I720" s="6" t="s">
        <v>2</v>
      </c>
      <c r="J720" s="6" t="s">
        <v>1</v>
      </c>
    </row>
    <row r="721" spans="1:10" x14ac:dyDescent="0.3">
      <c r="A721" s="6" t="s">
        <v>3</v>
      </c>
      <c r="B721" s="6" t="s">
        <v>3</v>
      </c>
      <c r="C721" s="6" t="s">
        <v>3</v>
      </c>
      <c r="D721" s="6" t="s">
        <v>2</v>
      </c>
      <c r="E721" s="6" t="s">
        <v>4</v>
      </c>
      <c r="F721" s="6" t="s">
        <v>4</v>
      </c>
      <c r="G721" s="6" t="s">
        <v>2</v>
      </c>
      <c r="H721" s="6" t="s">
        <v>2</v>
      </c>
      <c r="I721" s="6" t="s">
        <v>4</v>
      </c>
      <c r="J721" s="6" t="s">
        <v>1</v>
      </c>
    </row>
    <row r="722" spans="1:10" x14ac:dyDescent="0.3">
      <c r="A722" s="6" t="s">
        <v>3</v>
      </c>
      <c r="B722" s="6" t="s">
        <v>3</v>
      </c>
      <c r="C722" s="6" t="s">
        <v>3</v>
      </c>
      <c r="D722" s="6" t="s">
        <v>2</v>
      </c>
      <c r="E722" s="6" t="s">
        <v>4</v>
      </c>
      <c r="F722" s="6" t="s">
        <v>4</v>
      </c>
      <c r="G722" s="6" t="s">
        <v>2</v>
      </c>
      <c r="H722" s="6" t="s">
        <v>4</v>
      </c>
      <c r="I722" s="6" t="s">
        <v>2</v>
      </c>
      <c r="J722" s="6" t="s">
        <v>1</v>
      </c>
    </row>
    <row r="723" spans="1:10" x14ac:dyDescent="0.3">
      <c r="A723" s="6" t="s">
        <v>3</v>
      </c>
      <c r="B723" s="6" t="s">
        <v>3</v>
      </c>
      <c r="C723" s="6" t="s">
        <v>3</v>
      </c>
      <c r="D723" s="6" t="s">
        <v>2</v>
      </c>
      <c r="E723" s="6" t="s">
        <v>4</v>
      </c>
      <c r="F723" s="6" t="s">
        <v>4</v>
      </c>
      <c r="G723" s="6" t="s">
        <v>4</v>
      </c>
      <c r="H723" s="6" t="s">
        <v>2</v>
      </c>
      <c r="I723" s="6" t="s">
        <v>2</v>
      </c>
      <c r="J723" s="6" t="s">
        <v>1</v>
      </c>
    </row>
    <row r="724" spans="1:10" x14ac:dyDescent="0.3">
      <c r="A724" s="6" t="s">
        <v>3</v>
      </c>
      <c r="B724" s="6" t="s">
        <v>3</v>
      </c>
      <c r="C724" s="6" t="s">
        <v>3</v>
      </c>
      <c r="D724" s="6" t="s">
        <v>3</v>
      </c>
      <c r="E724" s="6" t="s">
        <v>2</v>
      </c>
      <c r="F724" s="6" t="s">
        <v>2</v>
      </c>
      <c r="G724" s="6" t="s">
        <v>2</v>
      </c>
      <c r="H724" s="6" t="s">
        <v>2</v>
      </c>
      <c r="I724" s="6" t="s">
        <v>4</v>
      </c>
      <c r="J724" s="6" t="s">
        <v>1</v>
      </c>
    </row>
    <row r="725" spans="1:10" x14ac:dyDescent="0.3">
      <c r="A725" s="6" t="s">
        <v>3</v>
      </c>
      <c r="B725" s="6" t="s">
        <v>3</v>
      </c>
      <c r="C725" s="6" t="s">
        <v>3</v>
      </c>
      <c r="D725" s="6" t="s">
        <v>3</v>
      </c>
      <c r="E725" s="6" t="s">
        <v>2</v>
      </c>
      <c r="F725" s="6" t="s">
        <v>2</v>
      </c>
      <c r="G725" s="6" t="s">
        <v>2</v>
      </c>
      <c r="H725" s="6" t="s">
        <v>4</v>
      </c>
      <c r="I725" s="6" t="s">
        <v>2</v>
      </c>
      <c r="J725" s="6" t="s">
        <v>1</v>
      </c>
    </row>
    <row r="726" spans="1:10" x14ac:dyDescent="0.3">
      <c r="A726" s="6" t="s">
        <v>3</v>
      </c>
      <c r="B726" s="6" t="s">
        <v>3</v>
      </c>
      <c r="C726" s="6" t="s">
        <v>3</v>
      </c>
      <c r="D726" s="6" t="s">
        <v>3</v>
      </c>
      <c r="E726" s="6" t="s">
        <v>2</v>
      </c>
      <c r="F726" s="6" t="s">
        <v>2</v>
      </c>
      <c r="G726" s="6" t="s">
        <v>4</v>
      </c>
      <c r="H726" s="6" t="s">
        <v>2</v>
      </c>
      <c r="I726" s="6" t="s">
        <v>2</v>
      </c>
      <c r="J726" s="6" t="s">
        <v>1</v>
      </c>
    </row>
    <row r="727" spans="1:10" x14ac:dyDescent="0.3">
      <c r="A727" s="6" t="s">
        <v>3</v>
      </c>
      <c r="B727" s="6" t="s">
        <v>3</v>
      </c>
      <c r="C727" s="6" t="s">
        <v>3</v>
      </c>
      <c r="D727" s="6" t="s">
        <v>4</v>
      </c>
      <c r="E727" s="6" t="s">
        <v>2</v>
      </c>
      <c r="F727" s="6" t="s">
        <v>2</v>
      </c>
      <c r="G727" s="6" t="s">
        <v>2</v>
      </c>
      <c r="H727" s="6" t="s">
        <v>2</v>
      </c>
      <c r="I727" s="6" t="s">
        <v>3</v>
      </c>
      <c r="J727" s="6" t="s">
        <v>1</v>
      </c>
    </row>
    <row r="728" spans="1:10" x14ac:dyDescent="0.3">
      <c r="A728" s="6" t="s">
        <v>3</v>
      </c>
      <c r="B728" s="6" t="s">
        <v>3</v>
      </c>
      <c r="C728" s="6" t="s">
        <v>3</v>
      </c>
      <c r="D728" s="6" t="s">
        <v>4</v>
      </c>
      <c r="E728" s="6" t="s">
        <v>2</v>
      </c>
      <c r="F728" s="6" t="s">
        <v>2</v>
      </c>
      <c r="G728" s="6" t="s">
        <v>2</v>
      </c>
      <c r="H728" s="6" t="s">
        <v>3</v>
      </c>
      <c r="I728" s="6" t="s">
        <v>2</v>
      </c>
      <c r="J728" s="6" t="s">
        <v>1</v>
      </c>
    </row>
    <row r="729" spans="1:10" x14ac:dyDescent="0.3">
      <c r="A729" s="6" t="s">
        <v>3</v>
      </c>
      <c r="B729" s="6" t="s">
        <v>3</v>
      </c>
      <c r="C729" s="6" t="s">
        <v>3</v>
      </c>
      <c r="D729" s="6" t="s">
        <v>4</v>
      </c>
      <c r="E729" s="6" t="s">
        <v>2</v>
      </c>
      <c r="F729" s="6" t="s">
        <v>2</v>
      </c>
      <c r="G729" s="6" t="s">
        <v>2</v>
      </c>
      <c r="H729" s="6" t="s">
        <v>4</v>
      </c>
      <c r="I729" s="6" t="s">
        <v>4</v>
      </c>
      <c r="J729" s="6" t="s">
        <v>1</v>
      </c>
    </row>
    <row r="730" spans="1:10" x14ac:dyDescent="0.3">
      <c r="A730" s="6" t="s">
        <v>3</v>
      </c>
      <c r="B730" s="6" t="s">
        <v>3</v>
      </c>
      <c r="C730" s="6" t="s">
        <v>3</v>
      </c>
      <c r="D730" s="6" t="s">
        <v>4</v>
      </c>
      <c r="E730" s="6" t="s">
        <v>2</v>
      </c>
      <c r="F730" s="6" t="s">
        <v>2</v>
      </c>
      <c r="G730" s="6" t="s">
        <v>3</v>
      </c>
      <c r="H730" s="6" t="s">
        <v>2</v>
      </c>
      <c r="I730" s="6" t="s">
        <v>2</v>
      </c>
      <c r="J730" s="6" t="s">
        <v>1</v>
      </c>
    </row>
    <row r="731" spans="1:10" x14ac:dyDescent="0.3">
      <c r="A731" s="6" t="s">
        <v>3</v>
      </c>
      <c r="B731" s="6" t="s">
        <v>3</v>
      </c>
      <c r="C731" s="6" t="s">
        <v>3</v>
      </c>
      <c r="D731" s="6" t="s">
        <v>4</v>
      </c>
      <c r="E731" s="6" t="s">
        <v>2</v>
      </c>
      <c r="F731" s="6" t="s">
        <v>2</v>
      </c>
      <c r="G731" s="6" t="s">
        <v>4</v>
      </c>
      <c r="H731" s="6" t="s">
        <v>2</v>
      </c>
      <c r="I731" s="6" t="s">
        <v>4</v>
      </c>
      <c r="J731" s="6" t="s">
        <v>1</v>
      </c>
    </row>
    <row r="732" spans="1:10" x14ac:dyDescent="0.3">
      <c r="A732" s="6" t="s">
        <v>3</v>
      </c>
      <c r="B732" s="6" t="s">
        <v>3</v>
      </c>
      <c r="C732" s="6" t="s">
        <v>3</v>
      </c>
      <c r="D732" s="6" t="s">
        <v>4</v>
      </c>
      <c r="E732" s="6" t="s">
        <v>2</v>
      </c>
      <c r="F732" s="6" t="s">
        <v>2</v>
      </c>
      <c r="G732" s="6" t="s">
        <v>4</v>
      </c>
      <c r="H732" s="6" t="s">
        <v>4</v>
      </c>
      <c r="I732" s="6" t="s">
        <v>2</v>
      </c>
      <c r="J732" s="6" t="s">
        <v>1</v>
      </c>
    </row>
    <row r="733" spans="1:10" x14ac:dyDescent="0.3">
      <c r="A733" s="6" t="s">
        <v>3</v>
      </c>
      <c r="B733" s="6" t="s">
        <v>3</v>
      </c>
      <c r="C733" s="6" t="s">
        <v>3</v>
      </c>
      <c r="D733" s="6" t="s">
        <v>4</v>
      </c>
      <c r="E733" s="6" t="s">
        <v>2</v>
      </c>
      <c r="F733" s="6" t="s">
        <v>4</v>
      </c>
      <c r="G733" s="6" t="s">
        <v>2</v>
      </c>
      <c r="H733" s="6" t="s">
        <v>2</v>
      </c>
      <c r="I733" s="6" t="s">
        <v>4</v>
      </c>
      <c r="J733" s="6" t="s">
        <v>1</v>
      </c>
    </row>
    <row r="734" spans="1:10" x14ac:dyDescent="0.3">
      <c r="A734" s="6" t="s">
        <v>3</v>
      </c>
      <c r="B734" s="6" t="s">
        <v>3</v>
      </c>
      <c r="C734" s="6" t="s">
        <v>3</v>
      </c>
      <c r="D734" s="6" t="s">
        <v>4</v>
      </c>
      <c r="E734" s="6" t="s">
        <v>2</v>
      </c>
      <c r="F734" s="6" t="s">
        <v>4</v>
      </c>
      <c r="G734" s="6" t="s">
        <v>2</v>
      </c>
      <c r="H734" s="6" t="s">
        <v>4</v>
      </c>
      <c r="I734" s="6" t="s">
        <v>2</v>
      </c>
      <c r="J734" s="6" t="s">
        <v>1</v>
      </c>
    </row>
    <row r="735" spans="1:10" x14ac:dyDescent="0.3">
      <c r="A735" s="6" t="s">
        <v>3</v>
      </c>
      <c r="B735" s="6" t="s">
        <v>3</v>
      </c>
      <c r="C735" s="6" t="s">
        <v>3</v>
      </c>
      <c r="D735" s="6" t="s">
        <v>4</v>
      </c>
      <c r="E735" s="6" t="s">
        <v>2</v>
      </c>
      <c r="F735" s="6" t="s">
        <v>4</v>
      </c>
      <c r="G735" s="6" t="s">
        <v>4</v>
      </c>
      <c r="H735" s="6" t="s">
        <v>2</v>
      </c>
      <c r="I735" s="6" t="s">
        <v>2</v>
      </c>
      <c r="J735" s="6" t="s">
        <v>1</v>
      </c>
    </row>
    <row r="736" spans="1:10" x14ac:dyDescent="0.3">
      <c r="A736" s="6" t="s">
        <v>3</v>
      </c>
      <c r="B736" s="6" t="s">
        <v>3</v>
      </c>
      <c r="C736" s="6" t="s">
        <v>3</v>
      </c>
      <c r="D736" s="6" t="s">
        <v>4</v>
      </c>
      <c r="E736" s="6" t="s">
        <v>4</v>
      </c>
      <c r="F736" s="6" t="s">
        <v>2</v>
      </c>
      <c r="G736" s="6" t="s">
        <v>2</v>
      </c>
      <c r="H736" s="6" t="s">
        <v>2</v>
      </c>
      <c r="I736" s="6" t="s">
        <v>4</v>
      </c>
      <c r="J736" s="6" t="s">
        <v>1</v>
      </c>
    </row>
    <row r="737" spans="1:10" x14ac:dyDescent="0.3">
      <c r="A737" s="6" t="s">
        <v>3</v>
      </c>
      <c r="B737" s="6" t="s">
        <v>3</v>
      </c>
      <c r="C737" s="6" t="s">
        <v>3</v>
      </c>
      <c r="D737" s="6" t="s">
        <v>4</v>
      </c>
      <c r="E737" s="6" t="s">
        <v>4</v>
      </c>
      <c r="F737" s="6" t="s">
        <v>2</v>
      </c>
      <c r="G737" s="6" t="s">
        <v>2</v>
      </c>
      <c r="H737" s="6" t="s">
        <v>4</v>
      </c>
      <c r="I737" s="6" t="s">
        <v>2</v>
      </c>
      <c r="J737" s="6" t="s">
        <v>1</v>
      </c>
    </row>
    <row r="738" spans="1:10" x14ac:dyDescent="0.3">
      <c r="A738" s="6" t="s">
        <v>3</v>
      </c>
      <c r="B738" s="6" t="s">
        <v>3</v>
      </c>
      <c r="C738" s="6" t="s">
        <v>3</v>
      </c>
      <c r="D738" s="6" t="s">
        <v>4</v>
      </c>
      <c r="E738" s="6" t="s">
        <v>4</v>
      </c>
      <c r="F738" s="6" t="s">
        <v>2</v>
      </c>
      <c r="G738" s="6" t="s">
        <v>4</v>
      </c>
      <c r="H738" s="6" t="s">
        <v>2</v>
      </c>
      <c r="I738" s="6" t="s">
        <v>2</v>
      </c>
      <c r="J738" s="6" t="s">
        <v>1</v>
      </c>
    </row>
    <row r="739" spans="1:10" x14ac:dyDescent="0.3">
      <c r="A739" s="6" t="s">
        <v>3</v>
      </c>
      <c r="B739" s="6" t="s">
        <v>3</v>
      </c>
      <c r="C739" s="6" t="s">
        <v>4</v>
      </c>
      <c r="D739" s="6" t="s">
        <v>2</v>
      </c>
      <c r="E739" s="6" t="s">
        <v>3</v>
      </c>
      <c r="F739" s="6" t="s">
        <v>2</v>
      </c>
      <c r="G739" s="6" t="s">
        <v>2</v>
      </c>
      <c r="H739" s="6" t="s">
        <v>2</v>
      </c>
      <c r="I739" s="6" t="s">
        <v>3</v>
      </c>
      <c r="J739" s="6" t="s">
        <v>1</v>
      </c>
    </row>
    <row r="740" spans="1:10" x14ac:dyDescent="0.3">
      <c r="A740" s="6" t="s">
        <v>3</v>
      </c>
      <c r="B740" s="6" t="s">
        <v>3</v>
      </c>
      <c r="C740" s="6" t="s">
        <v>4</v>
      </c>
      <c r="D740" s="6" t="s">
        <v>2</v>
      </c>
      <c r="E740" s="6" t="s">
        <v>3</v>
      </c>
      <c r="F740" s="6" t="s">
        <v>2</v>
      </c>
      <c r="G740" s="6" t="s">
        <v>2</v>
      </c>
      <c r="H740" s="6" t="s">
        <v>3</v>
      </c>
      <c r="I740" s="6" t="s">
        <v>2</v>
      </c>
      <c r="J740" s="6" t="s">
        <v>1</v>
      </c>
    </row>
    <row r="741" spans="1:10" x14ac:dyDescent="0.3">
      <c r="A741" s="6" t="s">
        <v>3</v>
      </c>
      <c r="B741" s="6" t="s">
        <v>3</v>
      </c>
      <c r="C741" s="6" t="s">
        <v>4</v>
      </c>
      <c r="D741" s="6" t="s">
        <v>3</v>
      </c>
      <c r="E741" s="6" t="s">
        <v>2</v>
      </c>
      <c r="F741" s="6" t="s">
        <v>2</v>
      </c>
      <c r="G741" s="6" t="s">
        <v>3</v>
      </c>
      <c r="H741" s="6" t="s">
        <v>2</v>
      </c>
      <c r="I741" s="6" t="s">
        <v>2</v>
      </c>
      <c r="J741" s="6" t="s">
        <v>1</v>
      </c>
    </row>
    <row r="742" spans="1:10" x14ac:dyDescent="0.3">
      <c r="A742" s="6" t="s">
        <v>3</v>
      </c>
      <c r="B742" s="6" t="s">
        <v>4</v>
      </c>
      <c r="C742" s="6" t="s">
        <v>2</v>
      </c>
      <c r="D742" s="6" t="s">
        <v>2</v>
      </c>
      <c r="E742" s="6" t="s">
        <v>3</v>
      </c>
      <c r="F742" s="6" t="s">
        <v>2</v>
      </c>
      <c r="G742" s="6" t="s">
        <v>2</v>
      </c>
      <c r="H742" s="6" t="s">
        <v>3</v>
      </c>
      <c r="I742" s="6" t="s">
        <v>3</v>
      </c>
      <c r="J742" s="6" t="s">
        <v>1</v>
      </c>
    </row>
    <row r="743" spans="1:10" x14ac:dyDescent="0.3">
      <c r="A743" s="6" t="s">
        <v>3</v>
      </c>
      <c r="B743" s="6" t="s">
        <v>4</v>
      </c>
      <c r="C743" s="6" t="s">
        <v>2</v>
      </c>
      <c r="D743" s="6" t="s">
        <v>2</v>
      </c>
      <c r="E743" s="6" t="s">
        <v>3</v>
      </c>
      <c r="F743" s="6" t="s">
        <v>2</v>
      </c>
      <c r="G743" s="6" t="s">
        <v>3</v>
      </c>
      <c r="H743" s="6" t="s">
        <v>2</v>
      </c>
      <c r="I743" s="6" t="s">
        <v>3</v>
      </c>
      <c r="J743" s="6" t="s">
        <v>1</v>
      </c>
    </row>
    <row r="744" spans="1:10" x14ac:dyDescent="0.3">
      <c r="A744" s="6" t="s">
        <v>3</v>
      </c>
      <c r="B744" s="6" t="s">
        <v>4</v>
      </c>
      <c r="C744" s="6" t="s">
        <v>2</v>
      </c>
      <c r="D744" s="6" t="s">
        <v>2</v>
      </c>
      <c r="E744" s="6" t="s">
        <v>3</v>
      </c>
      <c r="F744" s="6" t="s">
        <v>2</v>
      </c>
      <c r="G744" s="6" t="s">
        <v>4</v>
      </c>
      <c r="H744" s="6" t="s">
        <v>4</v>
      </c>
      <c r="I744" s="6" t="s">
        <v>3</v>
      </c>
      <c r="J744" s="6" t="s">
        <v>1</v>
      </c>
    </row>
    <row r="745" spans="1:10" x14ac:dyDescent="0.3">
      <c r="A745" s="6" t="s">
        <v>3</v>
      </c>
      <c r="B745" s="6" t="s">
        <v>4</v>
      </c>
      <c r="C745" s="6" t="s">
        <v>2</v>
      </c>
      <c r="D745" s="6" t="s">
        <v>2</v>
      </c>
      <c r="E745" s="6" t="s">
        <v>3</v>
      </c>
      <c r="F745" s="6" t="s">
        <v>3</v>
      </c>
      <c r="G745" s="6" t="s">
        <v>2</v>
      </c>
      <c r="H745" s="6" t="s">
        <v>2</v>
      </c>
      <c r="I745" s="6" t="s">
        <v>3</v>
      </c>
      <c r="J745" s="6" t="s">
        <v>1</v>
      </c>
    </row>
    <row r="746" spans="1:10" x14ac:dyDescent="0.3">
      <c r="A746" s="6" t="s">
        <v>3</v>
      </c>
      <c r="B746" s="6" t="s">
        <v>4</v>
      </c>
      <c r="C746" s="6" t="s">
        <v>2</v>
      </c>
      <c r="D746" s="6" t="s">
        <v>2</v>
      </c>
      <c r="E746" s="6" t="s">
        <v>3</v>
      </c>
      <c r="F746" s="6" t="s">
        <v>4</v>
      </c>
      <c r="G746" s="6" t="s">
        <v>2</v>
      </c>
      <c r="H746" s="6" t="s">
        <v>4</v>
      </c>
      <c r="I746" s="6" t="s">
        <v>3</v>
      </c>
      <c r="J746" s="6" t="s">
        <v>1</v>
      </c>
    </row>
    <row r="747" spans="1:10" x14ac:dyDescent="0.3">
      <c r="A747" s="6" t="s">
        <v>3</v>
      </c>
      <c r="B747" s="6" t="s">
        <v>4</v>
      </c>
      <c r="C747" s="6" t="s">
        <v>2</v>
      </c>
      <c r="D747" s="6" t="s">
        <v>2</v>
      </c>
      <c r="E747" s="6" t="s">
        <v>3</v>
      </c>
      <c r="F747" s="6" t="s">
        <v>4</v>
      </c>
      <c r="G747" s="6" t="s">
        <v>4</v>
      </c>
      <c r="H747" s="6" t="s">
        <v>2</v>
      </c>
      <c r="I747" s="6" t="s">
        <v>3</v>
      </c>
      <c r="J747" s="6" t="s">
        <v>1</v>
      </c>
    </row>
    <row r="748" spans="1:10" x14ac:dyDescent="0.3">
      <c r="A748" s="6" t="s">
        <v>3</v>
      </c>
      <c r="B748" s="6" t="s">
        <v>4</v>
      </c>
      <c r="C748" s="6" t="s">
        <v>2</v>
      </c>
      <c r="D748" s="6" t="s">
        <v>3</v>
      </c>
      <c r="E748" s="6" t="s">
        <v>2</v>
      </c>
      <c r="F748" s="6" t="s">
        <v>2</v>
      </c>
      <c r="G748" s="6" t="s">
        <v>3</v>
      </c>
      <c r="H748" s="6" t="s">
        <v>2</v>
      </c>
      <c r="I748" s="6" t="s">
        <v>3</v>
      </c>
      <c r="J748" s="6" t="s">
        <v>1</v>
      </c>
    </row>
    <row r="749" spans="1:10" x14ac:dyDescent="0.3">
      <c r="A749" s="6" t="s">
        <v>3</v>
      </c>
      <c r="B749" s="6" t="s">
        <v>4</v>
      </c>
      <c r="C749" s="6" t="s">
        <v>2</v>
      </c>
      <c r="D749" s="6" t="s">
        <v>3</v>
      </c>
      <c r="E749" s="6" t="s">
        <v>2</v>
      </c>
      <c r="F749" s="6" t="s">
        <v>2</v>
      </c>
      <c r="G749" s="6" t="s">
        <v>3</v>
      </c>
      <c r="H749" s="6" t="s">
        <v>4</v>
      </c>
      <c r="I749" s="6" t="s">
        <v>4</v>
      </c>
      <c r="J749" s="6" t="s">
        <v>1</v>
      </c>
    </row>
    <row r="750" spans="1:10" x14ac:dyDescent="0.3">
      <c r="A750" s="6" t="s">
        <v>3</v>
      </c>
      <c r="B750" s="6" t="s">
        <v>4</v>
      </c>
      <c r="C750" s="6" t="s">
        <v>2</v>
      </c>
      <c r="D750" s="6" t="s">
        <v>3</v>
      </c>
      <c r="E750" s="6" t="s">
        <v>2</v>
      </c>
      <c r="F750" s="6" t="s">
        <v>3</v>
      </c>
      <c r="G750" s="6" t="s">
        <v>3</v>
      </c>
      <c r="H750" s="6" t="s">
        <v>2</v>
      </c>
      <c r="I750" s="6" t="s">
        <v>2</v>
      </c>
      <c r="J750" s="6" t="s">
        <v>1</v>
      </c>
    </row>
    <row r="751" spans="1:10" x14ac:dyDescent="0.3">
      <c r="A751" s="6" t="s">
        <v>3</v>
      </c>
      <c r="B751" s="6" t="s">
        <v>4</v>
      </c>
      <c r="C751" s="6" t="s">
        <v>2</v>
      </c>
      <c r="D751" s="6" t="s">
        <v>3</v>
      </c>
      <c r="E751" s="6" t="s">
        <v>2</v>
      </c>
      <c r="F751" s="6" t="s">
        <v>4</v>
      </c>
      <c r="G751" s="6" t="s">
        <v>3</v>
      </c>
      <c r="H751" s="6" t="s">
        <v>2</v>
      </c>
      <c r="I751" s="6" t="s">
        <v>4</v>
      </c>
      <c r="J751" s="6" t="s">
        <v>1</v>
      </c>
    </row>
    <row r="752" spans="1:10" x14ac:dyDescent="0.3">
      <c r="A752" s="6" t="s">
        <v>3</v>
      </c>
      <c r="B752" s="6" t="s">
        <v>4</v>
      </c>
      <c r="C752" s="6" t="s">
        <v>2</v>
      </c>
      <c r="D752" s="6" t="s">
        <v>3</v>
      </c>
      <c r="E752" s="6" t="s">
        <v>2</v>
      </c>
      <c r="F752" s="6" t="s">
        <v>4</v>
      </c>
      <c r="G752" s="6" t="s">
        <v>3</v>
      </c>
      <c r="H752" s="6" t="s">
        <v>4</v>
      </c>
      <c r="I752" s="6" t="s">
        <v>2</v>
      </c>
      <c r="J752" s="6" t="s">
        <v>1</v>
      </c>
    </row>
    <row r="753" spans="1:10" x14ac:dyDescent="0.3">
      <c r="A753" s="6" t="s">
        <v>3</v>
      </c>
      <c r="B753" s="6" t="s">
        <v>4</v>
      </c>
      <c r="C753" s="6" t="s">
        <v>2</v>
      </c>
      <c r="D753" s="6" t="s">
        <v>3</v>
      </c>
      <c r="E753" s="6" t="s">
        <v>3</v>
      </c>
      <c r="F753" s="6" t="s">
        <v>2</v>
      </c>
      <c r="G753" s="6" t="s">
        <v>2</v>
      </c>
      <c r="H753" s="6" t="s">
        <v>2</v>
      </c>
      <c r="I753" s="6" t="s">
        <v>3</v>
      </c>
      <c r="J753" s="6" t="s">
        <v>1</v>
      </c>
    </row>
    <row r="754" spans="1:10" x14ac:dyDescent="0.3">
      <c r="A754" s="6" t="s">
        <v>3</v>
      </c>
      <c r="B754" s="6" t="s">
        <v>4</v>
      </c>
      <c r="C754" s="6" t="s">
        <v>2</v>
      </c>
      <c r="D754" s="6" t="s">
        <v>3</v>
      </c>
      <c r="E754" s="6" t="s">
        <v>4</v>
      </c>
      <c r="F754" s="6" t="s">
        <v>2</v>
      </c>
      <c r="G754" s="6" t="s">
        <v>3</v>
      </c>
      <c r="H754" s="6" t="s">
        <v>2</v>
      </c>
      <c r="I754" s="6" t="s">
        <v>4</v>
      </c>
      <c r="J754" s="6" t="s">
        <v>1</v>
      </c>
    </row>
    <row r="755" spans="1:10" x14ac:dyDescent="0.3">
      <c r="A755" s="6" t="s">
        <v>3</v>
      </c>
      <c r="B755" s="6" t="s">
        <v>4</v>
      </c>
      <c r="C755" s="6" t="s">
        <v>2</v>
      </c>
      <c r="D755" s="6" t="s">
        <v>3</v>
      </c>
      <c r="E755" s="6" t="s">
        <v>4</v>
      </c>
      <c r="F755" s="6" t="s">
        <v>4</v>
      </c>
      <c r="G755" s="6" t="s">
        <v>3</v>
      </c>
      <c r="H755" s="6" t="s">
        <v>2</v>
      </c>
      <c r="I755" s="6" t="s">
        <v>2</v>
      </c>
      <c r="J755" s="6" t="s">
        <v>1</v>
      </c>
    </row>
    <row r="756" spans="1:10" x14ac:dyDescent="0.3">
      <c r="A756" s="6" t="s">
        <v>3</v>
      </c>
      <c r="B756" s="6" t="s">
        <v>4</v>
      </c>
      <c r="C756" s="6" t="s">
        <v>2</v>
      </c>
      <c r="D756" s="6" t="s">
        <v>4</v>
      </c>
      <c r="E756" s="6" t="s">
        <v>3</v>
      </c>
      <c r="F756" s="6" t="s">
        <v>2</v>
      </c>
      <c r="G756" s="6" t="s">
        <v>2</v>
      </c>
      <c r="H756" s="6" t="s">
        <v>4</v>
      </c>
      <c r="I756" s="6" t="s">
        <v>3</v>
      </c>
      <c r="J756" s="6" t="s">
        <v>1</v>
      </c>
    </row>
    <row r="757" spans="1:10" x14ac:dyDescent="0.3">
      <c r="A757" s="6" t="s">
        <v>3</v>
      </c>
      <c r="B757" s="6" t="s">
        <v>4</v>
      </c>
      <c r="C757" s="6" t="s">
        <v>2</v>
      </c>
      <c r="D757" s="6" t="s">
        <v>4</v>
      </c>
      <c r="E757" s="6" t="s">
        <v>3</v>
      </c>
      <c r="F757" s="6" t="s">
        <v>2</v>
      </c>
      <c r="G757" s="6" t="s">
        <v>4</v>
      </c>
      <c r="H757" s="6" t="s">
        <v>2</v>
      </c>
      <c r="I757" s="6" t="s">
        <v>3</v>
      </c>
      <c r="J757" s="6" t="s">
        <v>1</v>
      </c>
    </row>
    <row r="758" spans="1:10" x14ac:dyDescent="0.3">
      <c r="A758" s="6" t="s">
        <v>3</v>
      </c>
      <c r="B758" s="6" t="s">
        <v>4</v>
      </c>
      <c r="C758" s="6" t="s">
        <v>2</v>
      </c>
      <c r="D758" s="6" t="s">
        <v>4</v>
      </c>
      <c r="E758" s="6" t="s">
        <v>3</v>
      </c>
      <c r="F758" s="6" t="s">
        <v>4</v>
      </c>
      <c r="G758" s="6" t="s">
        <v>2</v>
      </c>
      <c r="H758" s="6" t="s">
        <v>2</v>
      </c>
      <c r="I758" s="6" t="s">
        <v>3</v>
      </c>
      <c r="J758" s="6" t="s">
        <v>1</v>
      </c>
    </row>
    <row r="759" spans="1:10" x14ac:dyDescent="0.3">
      <c r="A759" s="6" t="s">
        <v>3</v>
      </c>
      <c r="B759" s="6" t="s">
        <v>4</v>
      </c>
      <c r="C759" s="6" t="s">
        <v>3</v>
      </c>
      <c r="D759" s="6" t="s">
        <v>2</v>
      </c>
      <c r="E759" s="6" t="s">
        <v>2</v>
      </c>
      <c r="F759" s="6" t="s">
        <v>3</v>
      </c>
      <c r="G759" s="6" t="s">
        <v>2</v>
      </c>
      <c r="H759" s="6" t="s">
        <v>2</v>
      </c>
      <c r="I759" s="6" t="s">
        <v>3</v>
      </c>
      <c r="J759" s="6" t="s">
        <v>1</v>
      </c>
    </row>
    <row r="760" spans="1:10" x14ac:dyDescent="0.3">
      <c r="A760" s="6" t="s">
        <v>3</v>
      </c>
      <c r="B760" s="6" t="s">
        <v>4</v>
      </c>
      <c r="C760" s="6" t="s">
        <v>3</v>
      </c>
      <c r="D760" s="6" t="s">
        <v>2</v>
      </c>
      <c r="E760" s="6" t="s">
        <v>3</v>
      </c>
      <c r="F760" s="6" t="s">
        <v>2</v>
      </c>
      <c r="G760" s="6" t="s">
        <v>2</v>
      </c>
      <c r="H760" s="6" t="s">
        <v>2</v>
      </c>
      <c r="I760" s="6" t="s">
        <v>3</v>
      </c>
      <c r="J760" s="6" t="s">
        <v>1</v>
      </c>
    </row>
    <row r="761" spans="1:10" x14ac:dyDescent="0.3">
      <c r="A761" s="6" t="s">
        <v>3</v>
      </c>
      <c r="B761" s="6" t="s">
        <v>4</v>
      </c>
      <c r="C761" s="6" t="s">
        <v>3</v>
      </c>
      <c r="D761" s="6" t="s">
        <v>2</v>
      </c>
      <c r="E761" s="6" t="s">
        <v>3</v>
      </c>
      <c r="F761" s="6" t="s">
        <v>2</v>
      </c>
      <c r="G761" s="6" t="s">
        <v>3</v>
      </c>
      <c r="H761" s="6" t="s">
        <v>2</v>
      </c>
      <c r="I761" s="6" t="s">
        <v>2</v>
      </c>
      <c r="J761" s="6" t="s">
        <v>1</v>
      </c>
    </row>
    <row r="762" spans="1:10" x14ac:dyDescent="0.3">
      <c r="A762" s="6" t="s">
        <v>3</v>
      </c>
      <c r="B762" s="6" t="s">
        <v>4</v>
      </c>
      <c r="C762" s="6" t="s">
        <v>3</v>
      </c>
      <c r="D762" s="6" t="s">
        <v>3</v>
      </c>
      <c r="E762" s="6" t="s">
        <v>2</v>
      </c>
      <c r="F762" s="6" t="s">
        <v>2</v>
      </c>
      <c r="G762" s="6" t="s">
        <v>3</v>
      </c>
      <c r="H762" s="6" t="s">
        <v>2</v>
      </c>
      <c r="I762" s="6" t="s">
        <v>2</v>
      </c>
      <c r="J762" s="6" t="s">
        <v>1</v>
      </c>
    </row>
    <row r="763" spans="1:10" x14ac:dyDescent="0.3">
      <c r="A763" s="6" t="s">
        <v>3</v>
      </c>
      <c r="B763" s="6" t="s">
        <v>4</v>
      </c>
      <c r="C763" s="6" t="s">
        <v>4</v>
      </c>
      <c r="D763" s="6" t="s">
        <v>2</v>
      </c>
      <c r="E763" s="6" t="s">
        <v>3</v>
      </c>
      <c r="F763" s="6" t="s">
        <v>2</v>
      </c>
      <c r="G763" s="6" t="s">
        <v>2</v>
      </c>
      <c r="H763" s="6" t="s">
        <v>4</v>
      </c>
      <c r="I763" s="6" t="s">
        <v>3</v>
      </c>
      <c r="J763" s="6" t="s">
        <v>1</v>
      </c>
    </row>
    <row r="764" spans="1:10" x14ac:dyDescent="0.3">
      <c r="A764" s="6" t="s">
        <v>3</v>
      </c>
      <c r="B764" s="6" t="s">
        <v>4</v>
      </c>
      <c r="C764" s="6" t="s">
        <v>4</v>
      </c>
      <c r="D764" s="6" t="s">
        <v>2</v>
      </c>
      <c r="E764" s="6" t="s">
        <v>3</v>
      </c>
      <c r="F764" s="6" t="s">
        <v>2</v>
      </c>
      <c r="G764" s="6" t="s">
        <v>4</v>
      </c>
      <c r="H764" s="6" t="s">
        <v>2</v>
      </c>
      <c r="I764" s="6" t="s">
        <v>3</v>
      </c>
      <c r="J764" s="6" t="s">
        <v>1</v>
      </c>
    </row>
    <row r="765" spans="1:10" x14ac:dyDescent="0.3">
      <c r="A765" s="6" t="s">
        <v>3</v>
      </c>
      <c r="B765" s="6" t="s">
        <v>4</v>
      </c>
      <c r="C765" s="6" t="s">
        <v>4</v>
      </c>
      <c r="D765" s="6" t="s">
        <v>2</v>
      </c>
      <c r="E765" s="6" t="s">
        <v>3</v>
      </c>
      <c r="F765" s="6" t="s">
        <v>4</v>
      </c>
      <c r="G765" s="6" t="s">
        <v>2</v>
      </c>
      <c r="H765" s="6" t="s">
        <v>2</v>
      </c>
      <c r="I765" s="6" t="s">
        <v>3</v>
      </c>
      <c r="J765" s="6" t="s">
        <v>1</v>
      </c>
    </row>
    <row r="766" spans="1:10" x14ac:dyDescent="0.3">
      <c r="A766" s="6" t="s">
        <v>3</v>
      </c>
      <c r="B766" s="6" t="s">
        <v>4</v>
      </c>
      <c r="C766" s="6" t="s">
        <v>4</v>
      </c>
      <c r="D766" s="6" t="s">
        <v>3</v>
      </c>
      <c r="E766" s="6" t="s">
        <v>2</v>
      </c>
      <c r="F766" s="6" t="s">
        <v>2</v>
      </c>
      <c r="G766" s="6" t="s">
        <v>3</v>
      </c>
      <c r="H766" s="6" t="s">
        <v>2</v>
      </c>
      <c r="I766" s="6" t="s">
        <v>4</v>
      </c>
      <c r="J766" s="6" t="s">
        <v>1</v>
      </c>
    </row>
    <row r="767" spans="1:10" x14ac:dyDescent="0.3">
      <c r="A767" s="6" t="s">
        <v>3</v>
      </c>
      <c r="B767" s="6" t="s">
        <v>4</v>
      </c>
      <c r="C767" s="6" t="s">
        <v>4</v>
      </c>
      <c r="D767" s="6" t="s">
        <v>3</v>
      </c>
      <c r="E767" s="6" t="s">
        <v>2</v>
      </c>
      <c r="F767" s="6" t="s">
        <v>2</v>
      </c>
      <c r="G767" s="6" t="s">
        <v>3</v>
      </c>
      <c r="H767" s="6" t="s">
        <v>4</v>
      </c>
      <c r="I767" s="6" t="s">
        <v>2</v>
      </c>
      <c r="J767" s="6" t="s">
        <v>1</v>
      </c>
    </row>
    <row r="768" spans="1:10" x14ac:dyDescent="0.3">
      <c r="A768" s="6" t="s">
        <v>3</v>
      </c>
      <c r="B768" s="6" t="s">
        <v>4</v>
      </c>
      <c r="C768" s="6" t="s">
        <v>4</v>
      </c>
      <c r="D768" s="6" t="s">
        <v>3</v>
      </c>
      <c r="E768" s="6" t="s">
        <v>2</v>
      </c>
      <c r="F768" s="6" t="s">
        <v>4</v>
      </c>
      <c r="G768" s="6" t="s">
        <v>3</v>
      </c>
      <c r="H768" s="6" t="s">
        <v>2</v>
      </c>
      <c r="I768" s="6" t="s">
        <v>2</v>
      </c>
      <c r="J768" s="6" t="s">
        <v>1</v>
      </c>
    </row>
    <row r="769" spans="1:10" x14ac:dyDescent="0.3">
      <c r="A769" s="6" t="s">
        <v>3</v>
      </c>
      <c r="B769" s="6" t="s">
        <v>4</v>
      </c>
      <c r="C769" s="6" t="s">
        <v>4</v>
      </c>
      <c r="D769" s="6" t="s">
        <v>3</v>
      </c>
      <c r="E769" s="6" t="s">
        <v>4</v>
      </c>
      <c r="F769" s="6" t="s">
        <v>2</v>
      </c>
      <c r="G769" s="6" t="s">
        <v>3</v>
      </c>
      <c r="H769" s="6" t="s">
        <v>2</v>
      </c>
      <c r="I769" s="6" t="s">
        <v>2</v>
      </c>
      <c r="J769" s="6" t="s">
        <v>1</v>
      </c>
    </row>
    <row r="770" spans="1:10" x14ac:dyDescent="0.3">
      <c r="A770" s="6" t="s">
        <v>3</v>
      </c>
      <c r="B770" s="6" t="s">
        <v>4</v>
      </c>
      <c r="C770" s="6" t="s">
        <v>4</v>
      </c>
      <c r="D770" s="6" t="s">
        <v>4</v>
      </c>
      <c r="E770" s="6" t="s">
        <v>3</v>
      </c>
      <c r="F770" s="6" t="s">
        <v>2</v>
      </c>
      <c r="G770" s="6" t="s">
        <v>2</v>
      </c>
      <c r="H770" s="6" t="s">
        <v>2</v>
      </c>
      <c r="I770" s="6" t="s">
        <v>3</v>
      </c>
      <c r="J770" s="6" t="s">
        <v>1</v>
      </c>
    </row>
    <row r="771" spans="1:10" x14ac:dyDescent="0.3">
      <c r="A771" s="6" t="s">
        <v>4</v>
      </c>
      <c r="B771" s="6" t="s">
        <v>2</v>
      </c>
      <c r="C771" s="6" t="s">
        <v>2</v>
      </c>
      <c r="D771" s="6" t="s">
        <v>2</v>
      </c>
      <c r="E771" s="6" t="s">
        <v>2</v>
      </c>
      <c r="F771" s="6" t="s">
        <v>3</v>
      </c>
      <c r="G771" s="6" t="s">
        <v>3</v>
      </c>
      <c r="H771" s="6" t="s">
        <v>3</v>
      </c>
      <c r="I771" s="6" t="s">
        <v>3</v>
      </c>
      <c r="J771" s="6" t="s">
        <v>1</v>
      </c>
    </row>
    <row r="772" spans="1:10" x14ac:dyDescent="0.3">
      <c r="A772" s="6" t="s">
        <v>4</v>
      </c>
      <c r="B772" s="6" t="s">
        <v>2</v>
      </c>
      <c r="C772" s="6" t="s">
        <v>2</v>
      </c>
      <c r="D772" s="6" t="s">
        <v>2</v>
      </c>
      <c r="E772" s="6" t="s">
        <v>3</v>
      </c>
      <c r="F772" s="6" t="s">
        <v>2</v>
      </c>
      <c r="G772" s="6" t="s">
        <v>3</v>
      </c>
      <c r="H772" s="6" t="s">
        <v>3</v>
      </c>
      <c r="I772" s="6" t="s">
        <v>3</v>
      </c>
      <c r="J772" s="6" t="s">
        <v>1</v>
      </c>
    </row>
    <row r="773" spans="1:10" x14ac:dyDescent="0.3">
      <c r="A773" s="6" t="s">
        <v>4</v>
      </c>
      <c r="B773" s="6" t="s">
        <v>2</v>
      </c>
      <c r="C773" s="6" t="s">
        <v>2</v>
      </c>
      <c r="D773" s="6" t="s">
        <v>2</v>
      </c>
      <c r="E773" s="6" t="s">
        <v>4</v>
      </c>
      <c r="F773" s="6" t="s">
        <v>4</v>
      </c>
      <c r="G773" s="6" t="s">
        <v>3</v>
      </c>
      <c r="H773" s="6" t="s">
        <v>3</v>
      </c>
      <c r="I773" s="6" t="s">
        <v>3</v>
      </c>
      <c r="J773" s="6" t="s">
        <v>1</v>
      </c>
    </row>
    <row r="774" spans="1:10" x14ac:dyDescent="0.3">
      <c r="A774" s="6" t="s">
        <v>4</v>
      </c>
      <c r="B774" s="6" t="s">
        <v>2</v>
      </c>
      <c r="C774" s="6" t="s">
        <v>2</v>
      </c>
      <c r="D774" s="6" t="s">
        <v>3</v>
      </c>
      <c r="E774" s="6" t="s">
        <v>2</v>
      </c>
      <c r="F774" s="6" t="s">
        <v>2</v>
      </c>
      <c r="G774" s="6" t="s">
        <v>3</v>
      </c>
      <c r="H774" s="6" t="s">
        <v>3</v>
      </c>
      <c r="I774" s="6" t="s">
        <v>3</v>
      </c>
      <c r="J774" s="6" t="s">
        <v>1</v>
      </c>
    </row>
    <row r="775" spans="1:10" x14ac:dyDescent="0.3">
      <c r="A775" s="6" t="s">
        <v>4</v>
      </c>
      <c r="B775" s="6" t="s">
        <v>2</v>
      </c>
      <c r="C775" s="6" t="s">
        <v>2</v>
      </c>
      <c r="D775" s="6" t="s">
        <v>3</v>
      </c>
      <c r="E775" s="6" t="s">
        <v>3</v>
      </c>
      <c r="F775" s="6" t="s">
        <v>3</v>
      </c>
      <c r="G775" s="6" t="s">
        <v>2</v>
      </c>
      <c r="H775" s="6" t="s">
        <v>2</v>
      </c>
      <c r="I775" s="6" t="s">
        <v>3</v>
      </c>
      <c r="J775" s="6" t="s">
        <v>1</v>
      </c>
    </row>
    <row r="776" spans="1:10" x14ac:dyDescent="0.3">
      <c r="A776" s="6" t="s">
        <v>4</v>
      </c>
      <c r="B776" s="6" t="s">
        <v>2</v>
      </c>
      <c r="C776" s="6" t="s">
        <v>2</v>
      </c>
      <c r="D776" s="6" t="s">
        <v>3</v>
      </c>
      <c r="E776" s="6" t="s">
        <v>3</v>
      </c>
      <c r="F776" s="6" t="s">
        <v>3</v>
      </c>
      <c r="G776" s="6" t="s">
        <v>2</v>
      </c>
      <c r="H776" s="6" t="s">
        <v>3</v>
      </c>
      <c r="I776" s="6" t="s">
        <v>2</v>
      </c>
      <c r="J776" s="6" t="s">
        <v>1</v>
      </c>
    </row>
    <row r="777" spans="1:10" x14ac:dyDescent="0.3">
      <c r="A777" s="6" t="s">
        <v>4</v>
      </c>
      <c r="B777" s="6" t="s">
        <v>2</v>
      </c>
      <c r="C777" s="6" t="s">
        <v>2</v>
      </c>
      <c r="D777" s="6" t="s">
        <v>3</v>
      </c>
      <c r="E777" s="6" t="s">
        <v>3</v>
      </c>
      <c r="F777" s="6" t="s">
        <v>3</v>
      </c>
      <c r="G777" s="6" t="s">
        <v>2</v>
      </c>
      <c r="H777" s="6" t="s">
        <v>4</v>
      </c>
      <c r="I777" s="6" t="s">
        <v>4</v>
      </c>
      <c r="J777" s="6" t="s">
        <v>1</v>
      </c>
    </row>
    <row r="778" spans="1:10" x14ac:dyDescent="0.3">
      <c r="A778" s="6" t="s">
        <v>4</v>
      </c>
      <c r="B778" s="6" t="s">
        <v>2</v>
      </c>
      <c r="C778" s="6" t="s">
        <v>2</v>
      </c>
      <c r="D778" s="6" t="s">
        <v>3</v>
      </c>
      <c r="E778" s="6" t="s">
        <v>3</v>
      </c>
      <c r="F778" s="6" t="s">
        <v>3</v>
      </c>
      <c r="G778" s="6" t="s">
        <v>3</v>
      </c>
      <c r="H778" s="6" t="s">
        <v>2</v>
      </c>
      <c r="I778" s="6" t="s">
        <v>2</v>
      </c>
      <c r="J778" s="6" t="s">
        <v>1</v>
      </c>
    </row>
    <row r="779" spans="1:10" x14ac:dyDescent="0.3">
      <c r="A779" s="6" t="s">
        <v>4</v>
      </c>
      <c r="B779" s="6" t="s">
        <v>2</v>
      </c>
      <c r="C779" s="6" t="s">
        <v>2</v>
      </c>
      <c r="D779" s="6" t="s">
        <v>3</v>
      </c>
      <c r="E779" s="6" t="s">
        <v>3</v>
      </c>
      <c r="F779" s="6" t="s">
        <v>3</v>
      </c>
      <c r="G779" s="6" t="s">
        <v>4</v>
      </c>
      <c r="H779" s="6" t="s">
        <v>2</v>
      </c>
      <c r="I779" s="6" t="s">
        <v>4</v>
      </c>
      <c r="J779" s="6" t="s">
        <v>1</v>
      </c>
    </row>
    <row r="780" spans="1:10" x14ac:dyDescent="0.3">
      <c r="A780" s="6" t="s">
        <v>4</v>
      </c>
      <c r="B780" s="6" t="s">
        <v>2</v>
      </c>
      <c r="C780" s="6" t="s">
        <v>2</v>
      </c>
      <c r="D780" s="6" t="s">
        <v>3</v>
      </c>
      <c r="E780" s="6" t="s">
        <v>3</v>
      </c>
      <c r="F780" s="6" t="s">
        <v>3</v>
      </c>
      <c r="G780" s="6" t="s">
        <v>4</v>
      </c>
      <c r="H780" s="6" t="s">
        <v>4</v>
      </c>
      <c r="I780" s="6" t="s">
        <v>2</v>
      </c>
      <c r="J780" s="6" t="s">
        <v>1</v>
      </c>
    </row>
    <row r="781" spans="1:10" x14ac:dyDescent="0.3">
      <c r="A781" s="6" t="s">
        <v>4</v>
      </c>
      <c r="B781" s="6" t="s">
        <v>2</v>
      </c>
      <c r="C781" s="6" t="s">
        <v>2</v>
      </c>
      <c r="D781" s="6" t="s">
        <v>4</v>
      </c>
      <c r="E781" s="6" t="s">
        <v>2</v>
      </c>
      <c r="F781" s="6" t="s">
        <v>4</v>
      </c>
      <c r="G781" s="6" t="s">
        <v>3</v>
      </c>
      <c r="H781" s="6" t="s">
        <v>3</v>
      </c>
      <c r="I781" s="6" t="s">
        <v>3</v>
      </c>
      <c r="J781" s="6" t="s">
        <v>1</v>
      </c>
    </row>
    <row r="782" spans="1:10" x14ac:dyDescent="0.3">
      <c r="A782" s="6" t="s">
        <v>4</v>
      </c>
      <c r="B782" s="6" t="s">
        <v>2</v>
      </c>
      <c r="C782" s="6" t="s">
        <v>2</v>
      </c>
      <c r="D782" s="6" t="s">
        <v>4</v>
      </c>
      <c r="E782" s="6" t="s">
        <v>4</v>
      </c>
      <c r="F782" s="6" t="s">
        <v>2</v>
      </c>
      <c r="G782" s="6" t="s">
        <v>3</v>
      </c>
      <c r="H782" s="6" t="s">
        <v>3</v>
      </c>
      <c r="I782" s="6" t="s">
        <v>3</v>
      </c>
      <c r="J782" s="6" t="s">
        <v>1</v>
      </c>
    </row>
    <row r="783" spans="1:10" x14ac:dyDescent="0.3">
      <c r="A783" s="6" t="s">
        <v>4</v>
      </c>
      <c r="B783" s="6" t="s">
        <v>2</v>
      </c>
      <c r="C783" s="6" t="s">
        <v>3</v>
      </c>
      <c r="D783" s="6" t="s">
        <v>2</v>
      </c>
      <c r="E783" s="6" t="s">
        <v>2</v>
      </c>
      <c r="F783" s="6" t="s">
        <v>3</v>
      </c>
      <c r="G783" s="6" t="s">
        <v>2</v>
      </c>
      <c r="H783" s="6" t="s">
        <v>3</v>
      </c>
      <c r="I783" s="6" t="s">
        <v>3</v>
      </c>
      <c r="J783" s="6" t="s">
        <v>1</v>
      </c>
    </row>
    <row r="784" spans="1:10" x14ac:dyDescent="0.3">
      <c r="A784" s="6" t="s">
        <v>4</v>
      </c>
      <c r="B784" s="6" t="s">
        <v>2</v>
      </c>
      <c r="C784" s="6" t="s">
        <v>3</v>
      </c>
      <c r="D784" s="6" t="s">
        <v>2</v>
      </c>
      <c r="E784" s="6" t="s">
        <v>2</v>
      </c>
      <c r="F784" s="6" t="s">
        <v>3</v>
      </c>
      <c r="G784" s="6" t="s">
        <v>4</v>
      </c>
      <c r="H784" s="6" t="s">
        <v>4</v>
      </c>
      <c r="I784" s="6" t="s">
        <v>3</v>
      </c>
      <c r="J784" s="6" t="s">
        <v>1</v>
      </c>
    </row>
    <row r="785" spans="1:10" x14ac:dyDescent="0.3">
      <c r="A785" s="6" t="s">
        <v>4</v>
      </c>
      <c r="B785" s="6" t="s">
        <v>2</v>
      </c>
      <c r="C785" s="6" t="s">
        <v>3</v>
      </c>
      <c r="D785" s="6" t="s">
        <v>2</v>
      </c>
      <c r="E785" s="6" t="s">
        <v>3</v>
      </c>
      <c r="F785" s="6" t="s">
        <v>2</v>
      </c>
      <c r="G785" s="6" t="s">
        <v>3</v>
      </c>
      <c r="H785" s="6" t="s">
        <v>2</v>
      </c>
      <c r="I785" s="6" t="s">
        <v>3</v>
      </c>
      <c r="J785" s="6" t="s">
        <v>1</v>
      </c>
    </row>
    <row r="786" spans="1:10" x14ac:dyDescent="0.3">
      <c r="A786" s="6" t="s">
        <v>4</v>
      </c>
      <c r="B786" s="6" t="s">
        <v>2</v>
      </c>
      <c r="C786" s="6" t="s">
        <v>3</v>
      </c>
      <c r="D786" s="6" t="s">
        <v>2</v>
      </c>
      <c r="E786" s="6" t="s">
        <v>3</v>
      </c>
      <c r="F786" s="6" t="s">
        <v>2</v>
      </c>
      <c r="G786" s="6" t="s">
        <v>3</v>
      </c>
      <c r="H786" s="6" t="s">
        <v>3</v>
      </c>
      <c r="I786" s="6" t="s">
        <v>2</v>
      </c>
      <c r="J786" s="6" t="s">
        <v>1</v>
      </c>
    </row>
    <row r="787" spans="1:10" x14ac:dyDescent="0.3">
      <c r="A787" s="6" t="s">
        <v>4</v>
      </c>
      <c r="B787" s="6" t="s">
        <v>2</v>
      </c>
      <c r="C787" s="6" t="s">
        <v>3</v>
      </c>
      <c r="D787" s="6" t="s">
        <v>2</v>
      </c>
      <c r="E787" s="6" t="s">
        <v>3</v>
      </c>
      <c r="F787" s="6" t="s">
        <v>2</v>
      </c>
      <c r="G787" s="6" t="s">
        <v>3</v>
      </c>
      <c r="H787" s="6" t="s">
        <v>4</v>
      </c>
      <c r="I787" s="6" t="s">
        <v>4</v>
      </c>
      <c r="J787" s="6" t="s">
        <v>1</v>
      </c>
    </row>
    <row r="788" spans="1:10" x14ac:dyDescent="0.3">
      <c r="A788" s="6" t="s">
        <v>4</v>
      </c>
      <c r="B788" s="6" t="s">
        <v>2</v>
      </c>
      <c r="C788" s="6" t="s">
        <v>3</v>
      </c>
      <c r="D788" s="6" t="s">
        <v>2</v>
      </c>
      <c r="E788" s="6" t="s">
        <v>3</v>
      </c>
      <c r="F788" s="6" t="s">
        <v>3</v>
      </c>
      <c r="G788" s="6" t="s">
        <v>2</v>
      </c>
      <c r="H788" s="6" t="s">
        <v>2</v>
      </c>
      <c r="I788" s="6" t="s">
        <v>3</v>
      </c>
      <c r="J788" s="6" t="s">
        <v>1</v>
      </c>
    </row>
    <row r="789" spans="1:10" x14ac:dyDescent="0.3">
      <c r="A789" s="6" t="s">
        <v>4</v>
      </c>
      <c r="B789" s="6" t="s">
        <v>2</v>
      </c>
      <c r="C789" s="6" t="s">
        <v>3</v>
      </c>
      <c r="D789" s="6" t="s">
        <v>2</v>
      </c>
      <c r="E789" s="6" t="s">
        <v>3</v>
      </c>
      <c r="F789" s="6" t="s">
        <v>3</v>
      </c>
      <c r="G789" s="6" t="s">
        <v>3</v>
      </c>
      <c r="H789" s="6" t="s">
        <v>2</v>
      </c>
      <c r="I789" s="6" t="s">
        <v>2</v>
      </c>
      <c r="J789" s="6" t="s">
        <v>1</v>
      </c>
    </row>
    <row r="790" spans="1:10" x14ac:dyDescent="0.3">
      <c r="A790" s="6" t="s">
        <v>4</v>
      </c>
      <c r="B790" s="6" t="s">
        <v>2</v>
      </c>
      <c r="C790" s="6" t="s">
        <v>3</v>
      </c>
      <c r="D790" s="6" t="s">
        <v>2</v>
      </c>
      <c r="E790" s="6" t="s">
        <v>3</v>
      </c>
      <c r="F790" s="6" t="s">
        <v>4</v>
      </c>
      <c r="G790" s="6" t="s">
        <v>3</v>
      </c>
      <c r="H790" s="6" t="s">
        <v>2</v>
      </c>
      <c r="I790" s="6" t="s">
        <v>4</v>
      </c>
      <c r="J790" s="6" t="s">
        <v>1</v>
      </c>
    </row>
    <row r="791" spans="1:10" x14ac:dyDescent="0.3">
      <c r="A791" s="6" t="s">
        <v>4</v>
      </c>
      <c r="B791" s="6" t="s">
        <v>2</v>
      </c>
      <c r="C791" s="6" t="s">
        <v>3</v>
      </c>
      <c r="D791" s="6" t="s">
        <v>2</v>
      </c>
      <c r="E791" s="6" t="s">
        <v>3</v>
      </c>
      <c r="F791" s="6" t="s">
        <v>4</v>
      </c>
      <c r="G791" s="6" t="s">
        <v>3</v>
      </c>
      <c r="H791" s="6" t="s">
        <v>4</v>
      </c>
      <c r="I791" s="6" t="s">
        <v>2</v>
      </c>
      <c r="J791" s="6" t="s">
        <v>1</v>
      </c>
    </row>
    <row r="792" spans="1:10" x14ac:dyDescent="0.3">
      <c r="A792" s="6" t="s">
        <v>4</v>
      </c>
      <c r="B792" s="6" t="s">
        <v>2</v>
      </c>
      <c r="C792" s="6" t="s">
        <v>3</v>
      </c>
      <c r="D792" s="6" t="s">
        <v>2</v>
      </c>
      <c r="E792" s="6" t="s">
        <v>4</v>
      </c>
      <c r="F792" s="6" t="s">
        <v>3</v>
      </c>
      <c r="G792" s="6" t="s">
        <v>2</v>
      </c>
      <c r="H792" s="6" t="s">
        <v>4</v>
      </c>
      <c r="I792" s="6" t="s">
        <v>3</v>
      </c>
      <c r="J792" s="6" t="s">
        <v>1</v>
      </c>
    </row>
    <row r="793" spans="1:10" x14ac:dyDescent="0.3">
      <c r="A793" s="6" t="s">
        <v>4</v>
      </c>
      <c r="B793" s="6" t="s">
        <v>2</v>
      </c>
      <c r="C793" s="6" t="s">
        <v>3</v>
      </c>
      <c r="D793" s="6" t="s">
        <v>2</v>
      </c>
      <c r="E793" s="6" t="s">
        <v>4</v>
      </c>
      <c r="F793" s="6" t="s">
        <v>3</v>
      </c>
      <c r="G793" s="6" t="s">
        <v>4</v>
      </c>
      <c r="H793" s="6" t="s">
        <v>2</v>
      </c>
      <c r="I793" s="6" t="s">
        <v>3</v>
      </c>
      <c r="J793" s="6" t="s">
        <v>1</v>
      </c>
    </row>
    <row r="794" spans="1:10" x14ac:dyDescent="0.3">
      <c r="A794" s="6" t="s">
        <v>4</v>
      </c>
      <c r="B794" s="6" t="s">
        <v>2</v>
      </c>
      <c r="C794" s="6" t="s">
        <v>3</v>
      </c>
      <c r="D794" s="6" t="s">
        <v>3</v>
      </c>
      <c r="E794" s="6" t="s">
        <v>3</v>
      </c>
      <c r="F794" s="6" t="s">
        <v>2</v>
      </c>
      <c r="G794" s="6" t="s">
        <v>3</v>
      </c>
      <c r="H794" s="6" t="s">
        <v>2</v>
      </c>
      <c r="I794" s="6" t="s">
        <v>2</v>
      </c>
      <c r="J794" s="6" t="s">
        <v>1</v>
      </c>
    </row>
    <row r="795" spans="1:10" x14ac:dyDescent="0.3">
      <c r="A795" s="6" t="s">
        <v>4</v>
      </c>
      <c r="B795" s="6" t="s">
        <v>2</v>
      </c>
      <c r="C795" s="6" t="s">
        <v>3</v>
      </c>
      <c r="D795" s="6" t="s">
        <v>4</v>
      </c>
      <c r="E795" s="6" t="s">
        <v>2</v>
      </c>
      <c r="F795" s="6" t="s">
        <v>3</v>
      </c>
      <c r="G795" s="6" t="s">
        <v>2</v>
      </c>
      <c r="H795" s="6" t="s">
        <v>4</v>
      </c>
      <c r="I795" s="6" t="s">
        <v>3</v>
      </c>
      <c r="J795" s="6" t="s">
        <v>1</v>
      </c>
    </row>
    <row r="796" spans="1:10" x14ac:dyDescent="0.3">
      <c r="A796" s="6" t="s">
        <v>4</v>
      </c>
      <c r="B796" s="6" t="s">
        <v>2</v>
      </c>
      <c r="C796" s="6" t="s">
        <v>3</v>
      </c>
      <c r="D796" s="6" t="s">
        <v>4</v>
      </c>
      <c r="E796" s="6" t="s">
        <v>3</v>
      </c>
      <c r="F796" s="6" t="s">
        <v>2</v>
      </c>
      <c r="G796" s="6" t="s">
        <v>3</v>
      </c>
      <c r="H796" s="6" t="s">
        <v>2</v>
      </c>
      <c r="I796" s="6" t="s">
        <v>4</v>
      </c>
      <c r="J796" s="6" t="s">
        <v>1</v>
      </c>
    </row>
    <row r="797" spans="1:10" x14ac:dyDescent="0.3">
      <c r="A797" s="6" t="s">
        <v>4</v>
      </c>
      <c r="B797" s="6" t="s">
        <v>2</v>
      </c>
      <c r="C797" s="6" t="s">
        <v>3</v>
      </c>
      <c r="D797" s="6" t="s">
        <v>4</v>
      </c>
      <c r="E797" s="6" t="s">
        <v>3</v>
      </c>
      <c r="F797" s="6" t="s">
        <v>2</v>
      </c>
      <c r="G797" s="6" t="s">
        <v>3</v>
      </c>
      <c r="H797" s="6" t="s">
        <v>4</v>
      </c>
      <c r="I797" s="6" t="s">
        <v>2</v>
      </c>
      <c r="J797" s="6" t="s">
        <v>1</v>
      </c>
    </row>
    <row r="798" spans="1:10" x14ac:dyDescent="0.3">
      <c r="A798" s="6" t="s">
        <v>4</v>
      </c>
      <c r="B798" s="6" t="s">
        <v>2</v>
      </c>
      <c r="C798" s="6" t="s">
        <v>3</v>
      </c>
      <c r="D798" s="6" t="s">
        <v>4</v>
      </c>
      <c r="E798" s="6" t="s">
        <v>3</v>
      </c>
      <c r="F798" s="6" t="s">
        <v>4</v>
      </c>
      <c r="G798" s="6" t="s">
        <v>3</v>
      </c>
      <c r="H798" s="6" t="s">
        <v>2</v>
      </c>
      <c r="I798" s="6" t="s">
        <v>2</v>
      </c>
      <c r="J798" s="6" t="s">
        <v>1</v>
      </c>
    </row>
    <row r="799" spans="1:10" x14ac:dyDescent="0.3">
      <c r="A799" s="6" t="s">
        <v>4</v>
      </c>
      <c r="B799" s="6" t="s">
        <v>2</v>
      </c>
      <c r="C799" s="6" t="s">
        <v>3</v>
      </c>
      <c r="D799" s="6" t="s">
        <v>4</v>
      </c>
      <c r="E799" s="6" t="s">
        <v>4</v>
      </c>
      <c r="F799" s="6" t="s">
        <v>3</v>
      </c>
      <c r="G799" s="6" t="s">
        <v>2</v>
      </c>
      <c r="H799" s="6" t="s">
        <v>2</v>
      </c>
      <c r="I799" s="6" t="s">
        <v>3</v>
      </c>
      <c r="J799" s="6" t="s">
        <v>1</v>
      </c>
    </row>
    <row r="800" spans="1:10" x14ac:dyDescent="0.3">
      <c r="A800" s="6" t="s">
        <v>4</v>
      </c>
      <c r="B800" s="6" t="s">
        <v>2</v>
      </c>
      <c r="C800" s="6" t="s">
        <v>4</v>
      </c>
      <c r="D800" s="6" t="s">
        <v>2</v>
      </c>
      <c r="E800" s="6" t="s">
        <v>2</v>
      </c>
      <c r="F800" s="6" t="s">
        <v>4</v>
      </c>
      <c r="G800" s="6" t="s">
        <v>3</v>
      </c>
      <c r="H800" s="6" t="s">
        <v>3</v>
      </c>
      <c r="I800" s="6" t="s">
        <v>3</v>
      </c>
      <c r="J800" s="6" t="s">
        <v>1</v>
      </c>
    </row>
    <row r="801" spans="1:10" x14ac:dyDescent="0.3">
      <c r="A801" s="6" t="s">
        <v>4</v>
      </c>
      <c r="B801" s="6" t="s">
        <v>2</v>
      </c>
      <c r="C801" s="6" t="s">
        <v>4</v>
      </c>
      <c r="D801" s="6" t="s">
        <v>2</v>
      </c>
      <c r="E801" s="6" t="s">
        <v>4</v>
      </c>
      <c r="F801" s="6" t="s">
        <v>2</v>
      </c>
      <c r="G801" s="6" t="s">
        <v>3</v>
      </c>
      <c r="H801" s="6" t="s">
        <v>3</v>
      </c>
      <c r="I801" s="6" t="s">
        <v>3</v>
      </c>
      <c r="J801" s="6" t="s">
        <v>1</v>
      </c>
    </row>
    <row r="802" spans="1:10" x14ac:dyDescent="0.3">
      <c r="A802" s="6" t="s">
        <v>4</v>
      </c>
      <c r="B802" s="6" t="s">
        <v>2</v>
      </c>
      <c r="C802" s="6" t="s">
        <v>4</v>
      </c>
      <c r="D802" s="6" t="s">
        <v>3</v>
      </c>
      <c r="E802" s="6" t="s">
        <v>3</v>
      </c>
      <c r="F802" s="6" t="s">
        <v>3</v>
      </c>
      <c r="G802" s="6" t="s">
        <v>2</v>
      </c>
      <c r="H802" s="6" t="s">
        <v>2</v>
      </c>
      <c r="I802" s="6" t="s">
        <v>4</v>
      </c>
      <c r="J802" s="6" t="s">
        <v>1</v>
      </c>
    </row>
    <row r="803" spans="1:10" x14ac:dyDescent="0.3">
      <c r="A803" s="6" t="s">
        <v>4</v>
      </c>
      <c r="B803" s="6" t="s">
        <v>2</v>
      </c>
      <c r="C803" s="6" t="s">
        <v>4</v>
      </c>
      <c r="D803" s="6" t="s">
        <v>3</v>
      </c>
      <c r="E803" s="6" t="s">
        <v>3</v>
      </c>
      <c r="F803" s="6" t="s">
        <v>3</v>
      </c>
      <c r="G803" s="6" t="s">
        <v>2</v>
      </c>
      <c r="H803" s="6" t="s">
        <v>4</v>
      </c>
      <c r="I803" s="6" t="s">
        <v>2</v>
      </c>
      <c r="J803" s="6" t="s">
        <v>1</v>
      </c>
    </row>
    <row r="804" spans="1:10" x14ac:dyDescent="0.3">
      <c r="A804" s="6" t="s">
        <v>4</v>
      </c>
      <c r="B804" s="6" t="s">
        <v>2</v>
      </c>
      <c r="C804" s="6" t="s">
        <v>4</v>
      </c>
      <c r="D804" s="6" t="s">
        <v>3</v>
      </c>
      <c r="E804" s="6" t="s">
        <v>3</v>
      </c>
      <c r="F804" s="6" t="s">
        <v>3</v>
      </c>
      <c r="G804" s="6" t="s">
        <v>4</v>
      </c>
      <c r="H804" s="6" t="s">
        <v>2</v>
      </c>
      <c r="I804" s="6" t="s">
        <v>2</v>
      </c>
      <c r="J804" s="6" t="s">
        <v>1</v>
      </c>
    </row>
    <row r="805" spans="1:10" x14ac:dyDescent="0.3">
      <c r="A805" s="6" t="s">
        <v>4</v>
      </c>
      <c r="B805" s="6" t="s">
        <v>2</v>
      </c>
      <c r="C805" s="6" t="s">
        <v>4</v>
      </c>
      <c r="D805" s="6" t="s">
        <v>4</v>
      </c>
      <c r="E805" s="6" t="s">
        <v>2</v>
      </c>
      <c r="F805" s="6" t="s">
        <v>2</v>
      </c>
      <c r="G805" s="6" t="s">
        <v>3</v>
      </c>
      <c r="H805" s="6" t="s">
        <v>3</v>
      </c>
      <c r="I805" s="6" t="s">
        <v>3</v>
      </c>
      <c r="J805" s="6" t="s">
        <v>1</v>
      </c>
    </row>
    <row r="806" spans="1:10" x14ac:dyDescent="0.3">
      <c r="A806" s="6" t="s">
        <v>4</v>
      </c>
      <c r="B806" s="6" t="s">
        <v>3</v>
      </c>
      <c r="C806" s="6" t="s">
        <v>2</v>
      </c>
      <c r="D806" s="6" t="s">
        <v>2</v>
      </c>
      <c r="E806" s="6" t="s">
        <v>3</v>
      </c>
      <c r="F806" s="6" t="s">
        <v>2</v>
      </c>
      <c r="G806" s="6" t="s">
        <v>2</v>
      </c>
      <c r="H806" s="6" t="s">
        <v>3</v>
      </c>
      <c r="I806" s="6" t="s">
        <v>3</v>
      </c>
      <c r="J806" s="6" t="s">
        <v>1</v>
      </c>
    </row>
    <row r="807" spans="1:10" x14ac:dyDescent="0.3">
      <c r="A807" s="6" t="s">
        <v>4</v>
      </c>
      <c r="B807" s="6" t="s">
        <v>3</v>
      </c>
      <c r="C807" s="6" t="s">
        <v>2</v>
      </c>
      <c r="D807" s="6" t="s">
        <v>2</v>
      </c>
      <c r="E807" s="6" t="s">
        <v>3</v>
      </c>
      <c r="F807" s="6" t="s">
        <v>2</v>
      </c>
      <c r="G807" s="6" t="s">
        <v>4</v>
      </c>
      <c r="H807" s="6" t="s">
        <v>3</v>
      </c>
      <c r="I807" s="6" t="s">
        <v>4</v>
      </c>
      <c r="J807" s="6" t="s">
        <v>1</v>
      </c>
    </row>
    <row r="808" spans="1:10" x14ac:dyDescent="0.3">
      <c r="A808" s="6" t="s">
        <v>4</v>
      </c>
      <c r="B808" s="6" t="s">
        <v>3</v>
      </c>
      <c r="C808" s="6" t="s">
        <v>2</v>
      </c>
      <c r="D808" s="6" t="s">
        <v>2</v>
      </c>
      <c r="E808" s="6" t="s">
        <v>3</v>
      </c>
      <c r="F808" s="6" t="s">
        <v>3</v>
      </c>
      <c r="G808" s="6" t="s">
        <v>2</v>
      </c>
      <c r="H808" s="6" t="s">
        <v>3</v>
      </c>
      <c r="I808" s="6" t="s">
        <v>2</v>
      </c>
      <c r="J808" s="6" t="s">
        <v>1</v>
      </c>
    </row>
    <row r="809" spans="1:10" x14ac:dyDescent="0.3">
      <c r="A809" s="6" t="s">
        <v>4</v>
      </c>
      <c r="B809" s="6" t="s">
        <v>3</v>
      </c>
      <c r="C809" s="6" t="s">
        <v>2</v>
      </c>
      <c r="D809" s="6" t="s">
        <v>2</v>
      </c>
      <c r="E809" s="6" t="s">
        <v>3</v>
      </c>
      <c r="F809" s="6" t="s">
        <v>4</v>
      </c>
      <c r="G809" s="6" t="s">
        <v>2</v>
      </c>
      <c r="H809" s="6" t="s">
        <v>3</v>
      </c>
      <c r="I809" s="6" t="s">
        <v>4</v>
      </c>
      <c r="J809" s="6" t="s">
        <v>1</v>
      </c>
    </row>
    <row r="810" spans="1:10" x14ac:dyDescent="0.3">
      <c r="A810" s="6" t="s">
        <v>4</v>
      </c>
      <c r="B810" s="6" t="s">
        <v>3</v>
      </c>
      <c r="C810" s="6" t="s">
        <v>2</v>
      </c>
      <c r="D810" s="6" t="s">
        <v>2</v>
      </c>
      <c r="E810" s="6" t="s">
        <v>3</v>
      </c>
      <c r="F810" s="6" t="s">
        <v>4</v>
      </c>
      <c r="G810" s="6" t="s">
        <v>4</v>
      </c>
      <c r="H810" s="6" t="s">
        <v>3</v>
      </c>
      <c r="I810" s="6" t="s">
        <v>2</v>
      </c>
      <c r="J810" s="6" t="s">
        <v>1</v>
      </c>
    </row>
    <row r="811" spans="1:10" x14ac:dyDescent="0.3">
      <c r="A811" s="6" t="s">
        <v>4</v>
      </c>
      <c r="B811" s="6" t="s">
        <v>3</v>
      </c>
      <c r="C811" s="6" t="s">
        <v>2</v>
      </c>
      <c r="D811" s="6" t="s">
        <v>4</v>
      </c>
      <c r="E811" s="6" t="s">
        <v>3</v>
      </c>
      <c r="F811" s="6" t="s">
        <v>2</v>
      </c>
      <c r="G811" s="6" t="s">
        <v>2</v>
      </c>
      <c r="H811" s="6" t="s">
        <v>3</v>
      </c>
      <c r="I811" s="6" t="s">
        <v>4</v>
      </c>
      <c r="J811" s="6" t="s">
        <v>1</v>
      </c>
    </row>
    <row r="812" spans="1:10" x14ac:dyDescent="0.3">
      <c r="A812" s="6" t="s">
        <v>4</v>
      </c>
      <c r="B812" s="6" t="s">
        <v>3</v>
      </c>
      <c r="C812" s="6" t="s">
        <v>2</v>
      </c>
      <c r="D812" s="6" t="s">
        <v>4</v>
      </c>
      <c r="E812" s="6" t="s">
        <v>3</v>
      </c>
      <c r="F812" s="6" t="s">
        <v>4</v>
      </c>
      <c r="G812" s="6" t="s">
        <v>2</v>
      </c>
      <c r="H812" s="6" t="s">
        <v>3</v>
      </c>
      <c r="I812" s="6" t="s">
        <v>2</v>
      </c>
      <c r="J812" s="6" t="s">
        <v>1</v>
      </c>
    </row>
    <row r="813" spans="1:10" x14ac:dyDescent="0.3">
      <c r="A813" s="6" t="s">
        <v>4</v>
      </c>
      <c r="B813" s="6" t="s">
        <v>3</v>
      </c>
      <c r="C813" s="6" t="s">
        <v>3</v>
      </c>
      <c r="D813" s="6" t="s">
        <v>2</v>
      </c>
      <c r="E813" s="6" t="s">
        <v>2</v>
      </c>
      <c r="F813" s="6" t="s">
        <v>3</v>
      </c>
      <c r="G813" s="6" t="s">
        <v>2</v>
      </c>
      <c r="H813" s="6" t="s">
        <v>2</v>
      </c>
      <c r="I813" s="6" t="s">
        <v>3</v>
      </c>
      <c r="J813" s="6" t="s">
        <v>1</v>
      </c>
    </row>
    <row r="814" spans="1:10" x14ac:dyDescent="0.3">
      <c r="A814" s="6" t="s">
        <v>4</v>
      </c>
      <c r="B814" s="6" t="s">
        <v>3</v>
      </c>
      <c r="C814" s="6" t="s">
        <v>3</v>
      </c>
      <c r="D814" s="6" t="s">
        <v>2</v>
      </c>
      <c r="E814" s="6" t="s">
        <v>3</v>
      </c>
      <c r="F814" s="6" t="s">
        <v>2</v>
      </c>
      <c r="G814" s="6" t="s">
        <v>2</v>
      </c>
      <c r="H814" s="6" t="s">
        <v>3</v>
      </c>
      <c r="I814" s="6" t="s">
        <v>2</v>
      </c>
      <c r="J814" s="6" t="s">
        <v>1</v>
      </c>
    </row>
    <row r="815" spans="1:10" x14ac:dyDescent="0.3">
      <c r="A815" s="6" t="s">
        <v>4</v>
      </c>
      <c r="B815" s="6" t="s">
        <v>3</v>
      </c>
      <c r="C815" s="6" t="s">
        <v>3</v>
      </c>
      <c r="D815" s="6" t="s">
        <v>2</v>
      </c>
      <c r="E815" s="6" t="s">
        <v>3</v>
      </c>
      <c r="F815" s="6" t="s">
        <v>2</v>
      </c>
      <c r="G815" s="6" t="s">
        <v>3</v>
      </c>
      <c r="H815" s="6" t="s">
        <v>2</v>
      </c>
      <c r="I815" s="6" t="s">
        <v>2</v>
      </c>
      <c r="J815" s="6" t="s">
        <v>1</v>
      </c>
    </row>
    <row r="816" spans="1:10" x14ac:dyDescent="0.3">
      <c r="A816" s="6" t="s">
        <v>4</v>
      </c>
      <c r="B816" s="6" t="s">
        <v>3</v>
      </c>
      <c r="C816" s="6" t="s">
        <v>4</v>
      </c>
      <c r="D816" s="6" t="s">
        <v>2</v>
      </c>
      <c r="E816" s="6" t="s">
        <v>3</v>
      </c>
      <c r="F816" s="6" t="s">
        <v>2</v>
      </c>
      <c r="G816" s="6" t="s">
        <v>2</v>
      </c>
      <c r="H816" s="6" t="s">
        <v>3</v>
      </c>
      <c r="I816" s="6" t="s">
        <v>4</v>
      </c>
      <c r="J816" s="6" t="s">
        <v>1</v>
      </c>
    </row>
    <row r="817" spans="1:10" x14ac:dyDescent="0.3">
      <c r="A817" s="6" t="s">
        <v>4</v>
      </c>
      <c r="B817" s="6" t="s">
        <v>3</v>
      </c>
      <c r="C817" s="6" t="s">
        <v>4</v>
      </c>
      <c r="D817" s="6" t="s">
        <v>2</v>
      </c>
      <c r="E817" s="6" t="s">
        <v>3</v>
      </c>
      <c r="F817" s="6" t="s">
        <v>2</v>
      </c>
      <c r="G817" s="6" t="s">
        <v>4</v>
      </c>
      <c r="H817" s="6" t="s">
        <v>3</v>
      </c>
      <c r="I817" s="6" t="s">
        <v>2</v>
      </c>
      <c r="J817" s="6" t="s">
        <v>1</v>
      </c>
    </row>
    <row r="818" spans="1:10" x14ac:dyDescent="0.3">
      <c r="A818" s="6" t="s">
        <v>4</v>
      </c>
      <c r="B818" s="6" t="s">
        <v>3</v>
      </c>
      <c r="C818" s="6" t="s">
        <v>4</v>
      </c>
      <c r="D818" s="6" t="s">
        <v>2</v>
      </c>
      <c r="E818" s="6" t="s">
        <v>3</v>
      </c>
      <c r="F818" s="6" t="s">
        <v>4</v>
      </c>
      <c r="G818" s="6" t="s">
        <v>2</v>
      </c>
      <c r="H818" s="6" t="s">
        <v>3</v>
      </c>
      <c r="I818" s="6" t="s">
        <v>2</v>
      </c>
      <c r="J818" s="6" t="s">
        <v>1</v>
      </c>
    </row>
    <row r="819" spans="1:10" x14ac:dyDescent="0.3">
      <c r="A819" s="6" t="s">
        <v>4</v>
      </c>
      <c r="B819" s="6" t="s">
        <v>3</v>
      </c>
      <c r="C819" s="6" t="s">
        <v>4</v>
      </c>
      <c r="D819" s="6" t="s">
        <v>4</v>
      </c>
      <c r="E819" s="6" t="s">
        <v>3</v>
      </c>
      <c r="F819" s="6" t="s">
        <v>2</v>
      </c>
      <c r="G819" s="6" t="s">
        <v>2</v>
      </c>
      <c r="H819" s="6" t="s">
        <v>3</v>
      </c>
      <c r="I819" s="6" t="s">
        <v>2</v>
      </c>
      <c r="J819" s="6" t="s">
        <v>1</v>
      </c>
    </row>
    <row r="820" spans="1:10" x14ac:dyDescent="0.3">
      <c r="A820" s="6" t="s">
        <v>4</v>
      </c>
      <c r="B820" s="6" t="s">
        <v>4</v>
      </c>
      <c r="C820" s="6" t="s">
        <v>2</v>
      </c>
      <c r="D820" s="6" t="s">
        <v>2</v>
      </c>
      <c r="E820" s="6" t="s">
        <v>2</v>
      </c>
      <c r="F820" s="6" t="s">
        <v>4</v>
      </c>
      <c r="G820" s="6" t="s">
        <v>3</v>
      </c>
      <c r="H820" s="6" t="s">
        <v>3</v>
      </c>
      <c r="I820" s="6" t="s">
        <v>3</v>
      </c>
      <c r="J820" s="6" t="s">
        <v>1</v>
      </c>
    </row>
    <row r="821" spans="1:10" x14ac:dyDescent="0.3">
      <c r="A821" s="6" t="s">
        <v>4</v>
      </c>
      <c r="B821" s="6" t="s">
        <v>4</v>
      </c>
      <c r="C821" s="6" t="s">
        <v>2</v>
      </c>
      <c r="D821" s="6" t="s">
        <v>2</v>
      </c>
      <c r="E821" s="6" t="s">
        <v>4</v>
      </c>
      <c r="F821" s="6" t="s">
        <v>2</v>
      </c>
      <c r="G821" s="6" t="s">
        <v>3</v>
      </c>
      <c r="H821" s="6" t="s">
        <v>3</v>
      </c>
      <c r="I821" s="6" t="s">
        <v>3</v>
      </c>
      <c r="J821" s="6" t="s">
        <v>1</v>
      </c>
    </row>
    <row r="822" spans="1:10" x14ac:dyDescent="0.3">
      <c r="A822" s="6" t="s">
        <v>4</v>
      </c>
      <c r="B822" s="6" t="s">
        <v>4</v>
      </c>
      <c r="C822" s="6" t="s">
        <v>2</v>
      </c>
      <c r="D822" s="6" t="s">
        <v>3</v>
      </c>
      <c r="E822" s="6" t="s">
        <v>3</v>
      </c>
      <c r="F822" s="6" t="s">
        <v>3</v>
      </c>
      <c r="G822" s="6" t="s">
        <v>2</v>
      </c>
      <c r="H822" s="6" t="s">
        <v>2</v>
      </c>
      <c r="I822" s="6" t="s">
        <v>4</v>
      </c>
      <c r="J822" s="6" t="s">
        <v>1</v>
      </c>
    </row>
    <row r="823" spans="1:10" x14ac:dyDescent="0.3">
      <c r="A823" s="6" t="s">
        <v>4</v>
      </c>
      <c r="B823" s="6" t="s">
        <v>4</v>
      </c>
      <c r="C823" s="6" t="s">
        <v>2</v>
      </c>
      <c r="D823" s="6" t="s">
        <v>3</v>
      </c>
      <c r="E823" s="6" t="s">
        <v>3</v>
      </c>
      <c r="F823" s="6" t="s">
        <v>3</v>
      </c>
      <c r="G823" s="6" t="s">
        <v>2</v>
      </c>
      <c r="H823" s="6" t="s">
        <v>4</v>
      </c>
      <c r="I823" s="6" t="s">
        <v>2</v>
      </c>
      <c r="J823" s="6" t="s">
        <v>1</v>
      </c>
    </row>
    <row r="824" spans="1:10" x14ac:dyDescent="0.3">
      <c r="A824" s="6" t="s">
        <v>4</v>
      </c>
      <c r="B824" s="6" t="s">
        <v>4</v>
      </c>
      <c r="C824" s="6" t="s">
        <v>2</v>
      </c>
      <c r="D824" s="6" t="s">
        <v>3</v>
      </c>
      <c r="E824" s="6" t="s">
        <v>3</v>
      </c>
      <c r="F824" s="6" t="s">
        <v>3</v>
      </c>
      <c r="G824" s="6" t="s">
        <v>4</v>
      </c>
      <c r="H824" s="6" t="s">
        <v>2</v>
      </c>
      <c r="I824" s="6" t="s">
        <v>2</v>
      </c>
      <c r="J824" s="6" t="s">
        <v>1</v>
      </c>
    </row>
    <row r="825" spans="1:10" x14ac:dyDescent="0.3">
      <c r="A825" s="6" t="s">
        <v>4</v>
      </c>
      <c r="B825" s="6" t="s">
        <v>4</v>
      </c>
      <c r="C825" s="6" t="s">
        <v>2</v>
      </c>
      <c r="D825" s="6" t="s">
        <v>4</v>
      </c>
      <c r="E825" s="6" t="s">
        <v>2</v>
      </c>
      <c r="F825" s="6" t="s">
        <v>2</v>
      </c>
      <c r="G825" s="6" t="s">
        <v>3</v>
      </c>
      <c r="H825" s="6" t="s">
        <v>3</v>
      </c>
      <c r="I825" s="6" t="s">
        <v>3</v>
      </c>
      <c r="J825" s="6" t="s">
        <v>1</v>
      </c>
    </row>
    <row r="826" spans="1:10" x14ac:dyDescent="0.3">
      <c r="A826" s="6" t="s">
        <v>4</v>
      </c>
      <c r="B826" s="6" t="s">
        <v>4</v>
      </c>
      <c r="C826" s="6" t="s">
        <v>3</v>
      </c>
      <c r="D826" s="6" t="s">
        <v>2</v>
      </c>
      <c r="E826" s="6" t="s">
        <v>2</v>
      </c>
      <c r="F826" s="6" t="s">
        <v>3</v>
      </c>
      <c r="G826" s="6" t="s">
        <v>2</v>
      </c>
      <c r="H826" s="6" t="s">
        <v>4</v>
      </c>
      <c r="I826" s="6" t="s">
        <v>3</v>
      </c>
      <c r="J826" s="6" t="s">
        <v>1</v>
      </c>
    </row>
    <row r="827" spans="1:10" x14ac:dyDescent="0.3">
      <c r="A827" s="6" t="s">
        <v>4</v>
      </c>
      <c r="B827" s="6" t="s">
        <v>4</v>
      </c>
      <c r="C827" s="6" t="s">
        <v>3</v>
      </c>
      <c r="D827" s="6" t="s">
        <v>2</v>
      </c>
      <c r="E827" s="6" t="s">
        <v>2</v>
      </c>
      <c r="F827" s="6" t="s">
        <v>3</v>
      </c>
      <c r="G827" s="6" t="s">
        <v>4</v>
      </c>
      <c r="H827" s="6" t="s">
        <v>2</v>
      </c>
      <c r="I827" s="6" t="s">
        <v>3</v>
      </c>
      <c r="J827" s="6" t="s">
        <v>1</v>
      </c>
    </row>
    <row r="828" spans="1:10" x14ac:dyDescent="0.3">
      <c r="A828" s="6" t="s">
        <v>4</v>
      </c>
      <c r="B828" s="6" t="s">
        <v>4</v>
      </c>
      <c r="C828" s="6" t="s">
        <v>3</v>
      </c>
      <c r="D828" s="6" t="s">
        <v>2</v>
      </c>
      <c r="E828" s="6" t="s">
        <v>3</v>
      </c>
      <c r="F828" s="6" t="s">
        <v>2</v>
      </c>
      <c r="G828" s="6" t="s">
        <v>3</v>
      </c>
      <c r="H828" s="6" t="s">
        <v>2</v>
      </c>
      <c r="I828" s="6" t="s">
        <v>4</v>
      </c>
      <c r="J828" s="6" t="s">
        <v>1</v>
      </c>
    </row>
    <row r="829" spans="1:10" x14ac:dyDescent="0.3">
      <c r="A829" s="6" t="s">
        <v>4</v>
      </c>
      <c r="B829" s="6" t="s">
        <v>4</v>
      </c>
      <c r="C829" s="6" t="s">
        <v>3</v>
      </c>
      <c r="D829" s="6" t="s">
        <v>2</v>
      </c>
      <c r="E829" s="6" t="s">
        <v>3</v>
      </c>
      <c r="F829" s="6" t="s">
        <v>2</v>
      </c>
      <c r="G829" s="6" t="s">
        <v>3</v>
      </c>
      <c r="H829" s="6" t="s">
        <v>4</v>
      </c>
      <c r="I829" s="6" t="s">
        <v>2</v>
      </c>
      <c r="J829" s="6" t="s">
        <v>1</v>
      </c>
    </row>
    <row r="830" spans="1:10" x14ac:dyDescent="0.3">
      <c r="A830" s="6" t="s">
        <v>4</v>
      </c>
      <c r="B830" s="6" t="s">
        <v>4</v>
      </c>
      <c r="C830" s="6" t="s">
        <v>3</v>
      </c>
      <c r="D830" s="6" t="s">
        <v>2</v>
      </c>
      <c r="E830" s="6" t="s">
        <v>3</v>
      </c>
      <c r="F830" s="6" t="s">
        <v>4</v>
      </c>
      <c r="G830" s="6" t="s">
        <v>3</v>
      </c>
      <c r="H830" s="6" t="s">
        <v>2</v>
      </c>
      <c r="I830" s="6" t="s">
        <v>2</v>
      </c>
      <c r="J830" s="6" t="s">
        <v>1</v>
      </c>
    </row>
    <row r="831" spans="1:10" x14ac:dyDescent="0.3">
      <c r="A831" s="6" t="s">
        <v>4</v>
      </c>
      <c r="B831" s="6" t="s">
        <v>4</v>
      </c>
      <c r="C831" s="6" t="s">
        <v>3</v>
      </c>
      <c r="D831" s="6" t="s">
        <v>2</v>
      </c>
      <c r="E831" s="6" t="s">
        <v>4</v>
      </c>
      <c r="F831" s="6" t="s">
        <v>3</v>
      </c>
      <c r="G831" s="6" t="s">
        <v>2</v>
      </c>
      <c r="H831" s="6" t="s">
        <v>2</v>
      </c>
      <c r="I831" s="6" t="s">
        <v>3</v>
      </c>
      <c r="J831" s="6" t="s">
        <v>1</v>
      </c>
    </row>
    <row r="832" spans="1:10" x14ac:dyDescent="0.3">
      <c r="A832" s="6" t="s">
        <v>4</v>
      </c>
      <c r="B832" s="6" t="s">
        <v>4</v>
      </c>
      <c r="C832" s="6" t="s">
        <v>3</v>
      </c>
      <c r="D832" s="6" t="s">
        <v>4</v>
      </c>
      <c r="E832" s="6" t="s">
        <v>2</v>
      </c>
      <c r="F832" s="6" t="s">
        <v>3</v>
      </c>
      <c r="G832" s="6" t="s">
        <v>2</v>
      </c>
      <c r="H832" s="6" t="s">
        <v>2</v>
      </c>
      <c r="I832" s="6" t="s">
        <v>3</v>
      </c>
      <c r="J832" s="6" t="s">
        <v>1</v>
      </c>
    </row>
    <row r="833" spans="1:10" x14ac:dyDescent="0.3">
      <c r="A833" s="6" t="s">
        <v>4</v>
      </c>
      <c r="B833" s="6" t="s">
        <v>4</v>
      </c>
      <c r="C833" s="6" t="s">
        <v>3</v>
      </c>
      <c r="D833" s="6" t="s">
        <v>4</v>
      </c>
      <c r="E833" s="6" t="s">
        <v>3</v>
      </c>
      <c r="F833" s="6" t="s">
        <v>2</v>
      </c>
      <c r="G833" s="6" t="s">
        <v>3</v>
      </c>
      <c r="H833" s="6" t="s">
        <v>2</v>
      </c>
      <c r="I833" s="6" t="s">
        <v>2</v>
      </c>
      <c r="J833" s="6" t="s">
        <v>1</v>
      </c>
    </row>
    <row r="834" spans="1:10" x14ac:dyDescent="0.3">
      <c r="A834" s="6" t="s">
        <v>2</v>
      </c>
      <c r="B834" s="6" t="s">
        <v>2</v>
      </c>
      <c r="C834" s="6" t="s">
        <v>3</v>
      </c>
      <c r="D834" s="6" t="s">
        <v>3</v>
      </c>
      <c r="E834" s="6" t="s">
        <v>2</v>
      </c>
      <c r="F834" s="6" t="s">
        <v>2</v>
      </c>
      <c r="G834" s="6" t="s">
        <v>2</v>
      </c>
      <c r="H834" s="6" t="s">
        <v>3</v>
      </c>
      <c r="I834" s="6" t="s">
        <v>3</v>
      </c>
      <c r="J834" s="6" t="s">
        <v>1</v>
      </c>
    </row>
    <row r="835" spans="1:10" x14ac:dyDescent="0.3">
      <c r="A835" s="6" t="s">
        <v>2</v>
      </c>
      <c r="B835" s="6" t="s">
        <v>2</v>
      </c>
      <c r="C835" s="6" t="s">
        <v>3</v>
      </c>
      <c r="D835" s="6" t="s">
        <v>3</v>
      </c>
      <c r="E835" s="6" t="s">
        <v>3</v>
      </c>
      <c r="F835" s="6" t="s">
        <v>2</v>
      </c>
      <c r="G835" s="6" t="s">
        <v>2</v>
      </c>
      <c r="H835" s="6" t="s">
        <v>2</v>
      </c>
      <c r="I835" s="6" t="s">
        <v>3</v>
      </c>
      <c r="J835" s="6" t="s">
        <v>1</v>
      </c>
    </row>
    <row r="836" spans="1:10" x14ac:dyDescent="0.3">
      <c r="A836" s="6" t="s">
        <v>2</v>
      </c>
      <c r="B836" s="6" t="s">
        <v>2</v>
      </c>
      <c r="C836" s="6" t="s">
        <v>3</v>
      </c>
      <c r="D836" s="6" t="s">
        <v>3</v>
      </c>
      <c r="E836" s="6" t="s">
        <v>3</v>
      </c>
      <c r="F836" s="6" t="s">
        <v>2</v>
      </c>
      <c r="G836" s="6" t="s">
        <v>2</v>
      </c>
      <c r="H836" s="6" t="s">
        <v>3</v>
      </c>
      <c r="I836" s="6" t="s">
        <v>2</v>
      </c>
      <c r="J836" s="6" t="s">
        <v>1</v>
      </c>
    </row>
    <row r="837" spans="1:10" x14ac:dyDescent="0.3">
      <c r="A837" s="6" t="s">
        <v>2</v>
      </c>
      <c r="B837" s="6" t="s">
        <v>3</v>
      </c>
      <c r="C837" s="6" t="s">
        <v>2</v>
      </c>
      <c r="D837" s="6" t="s">
        <v>2</v>
      </c>
      <c r="E837" s="6" t="s">
        <v>2</v>
      </c>
      <c r="F837" s="6" t="s">
        <v>3</v>
      </c>
      <c r="G837" s="6" t="s">
        <v>3</v>
      </c>
      <c r="H837" s="6" t="s">
        <v>2</v>
      </c>
      <c r="I837" s="6" t="s">
        <v>3</v>
      </c>
      <c r="J837" s="6" t="s">
        <v>1</v>
      </c>
    </row>
    <row r="838" spans="1:10" x14ac:dyDescent="0.3">
      <c r="A838" s="6" t="s">
        <v>2</v>
      </c>
      <c r="B838" s="6" t="s">
        <v>3</v>
      </c>
      <c r="C838" s="6" t="s">
        <v>2</v>
      </c>
      <c r="D838" s="6" t="s">
        <v>2</v>
      </c>
      <c r="E838" s="6" t="s">
        <v>3</v>
      </c>
      <c r="F838" s="6" t="s">
        <v>2</v>
      </c>
      <c r="G838" s="6" t="s">
        <v>3</v>
      </c>
      <c r="H838" s="6" t="s">
        <v>2</v>
      </c>
      <c r="I838" s="6" t="s">
        <v>3</v>
      </c>
      <c r="J838" s="6" t="s">
        <v>1</v>
      </c>
    </row>
    <row r="839" spans="1:10" x14ac:dyDescent="0.3">
      <c r="A839" s="6" t="s">
        <v>2</v>
      </c>
      <c r="B839" s="6" t="s">
        <v>3</v>
      </c>
      <c r="C839" s="6" t="s">
        <v>2</v>
      </c>
      <c r="D839" s="6" t="s">
        <v>2</v>
      </c>
      <c r="E839" s="6" t="s">
        <v>3</v>
      </c>
      <c r="F839" s="6" t="s">
        <v>3</v>
      </c>
      <c r="G839" s="6" t="s">
        <v>3</v>
      </c>
      <c r="H839" s="6" t="s">
        <v>2</v>
      </c>
      <c r="I839" s="6" t="s">
        <v>2</v>
      </c>
      <c r="J839" s="6" t="s">
        <v>1</v>
      </c>
    </row>
    <row r="840" spans="1:10" x14ac:dyDescent="0.3">
      <c r="A840" s="6" t="s">
        <v>2</v>
      </c>
      <c r="B840" s="6" t="s">
        <v>3</v>
      </c>
      <c r="C840" s="6" t="s">
        <v>2</v>
      </c>
      <c r="D840" s="6" t="s">
        <v>3</v>
      </c>
      <c r="E840" s="6" t="s">
        <v>2</v>
      </c>
      <c r="F840" s="6" t="s">
        <v>2</v>
      </c>
      <c r="G840" s="6" t="s">
        <v>3</v>
      </c>
      <c r="H840" s="6" t="s">
        <v>2</v>
      </c>
      <c r="I840" s="6" t="s">
        <v>3</v>
      </c>
      <c r="J840" s="6" t="s">
        <v>1</v>
      </c>
    </row>
    <row r="841" spans="1:10" x14ac:dyDescent="0.3">
      <c r="A841" s="6" t="s">
        <v>2</v>
      </c>
      <c r="B841" s="6" t="s">
        <v>3</v>
      </c>
      <c r="C841" s="6" t="s">
        <v>2</v>
      </c>
      <c r="D841" s="6" t="s">
        <v>3</v>
      </c>
      <c r="E841" s="6" t="s">
        <v>3</v>
      </c>
      <c r="F841" s="6" t="s">
        <v>2</v>
      </c>
      <c r="G841" s="6" t="s">
        <v>2</v>
      </c>
      <c r="H841" s="6" t="s">
        <v>2</v>
      </c>
      <c r="I841" s="6" t="s">
        <v>3</v>
      </c>
      <c r="J841" s="6" t="s">
        <v>1</v>
      </c>
    </row>
    <row r="842" spans="1:10" x14ac:dyDescent="0.3">
      <c r="A842" s="6" t="s">
        <v>2</v>
      </c>
      <c r="B842" s="6" t="s">
        <v>3</v>
      </c>
      <c r="C842" s="6" t="s">
        <v>3</v>
      </c>
      <c r="D842" s="6" t="s">
        <v>3</v>
      </c>
      <c r="E842" s="6" t="s">
        <v>2</v>
      </c>
      <c r="F842" s="6" t="s">
        <v>2</v>
      </c>
      <c r="G842" s="6" t="s">
        <v>2</v>
      </c>
      <c r="H842" s="6" t="s">
        <v>2</v>
      </c>
      <c r="I842" s="6" t="s">
        <v>3</v>
      </c>
      <c r="J842" s="6" t="s">
        <v>1</v>
      </c>
    </row>
    <row r="843" spans="1:10" x14ac:dyDescent="0.3">
      <c r="A843" s="6" t="s">
        <v>3</v>
      </c>
      <c r="B843" s="6" t="s">
        <v>2</v>
      </c>
      <c r="C843" s="6" t="s">
        <v>2</v>
      </c>
      <c r="D843" s="6" t="s">
        <v>2</v>
      </c>
      <c r="E843" s="6" t="s">
        <v>2</v>
      </c>
      <c r="F843" s="6" t="s">
        <v>3</v>
      </c>
      <c r="G843" s="6" t="s">
        <v>3</v>
      </c>
      <c r="H843" s="6" t="s">
        <v>3</v>
      </c>
      <c r="I843" s="6" t="s">
        <v>2</v>
      </c>
      <c r="J843" s="6" t="s">
        <v>1</v>
      </c>
    </row>
    <row r="844" spans="1:10" x14ac:dyDescent="0.3">
      <c r="A844" s="6" t="s">
        <v>3</v>
      </c>
      <c r="B844" s="6" t="s">
        <v>2</v>
      </c>
      <c r="C844" s="6" t="s">
        <v>2</v>
      </c>
      <c r="D844" s="6" t="s">
        <v>2</v>
      </c>
      <c r="E844" s="6" t="s">
        <v>3</v>
      </c>
      <c r="F844" s="6" t="s">
        <v>3</v>
      </c>
      <c r="G844" s="6" t="s">
        <v>2</v>
      </c>
      <c r="H844" s="6" t="s">
        <v>3</v>
      </c>
      <c r="I844" s="6" t="s">
        <v>2</v>
      </c>
      <c r="J844" s="6" t="s">
        <v>1</v>
      </c>
    </row>
    <row r="845" spans="1:10" x14ac:dyDescent="0.3">
      <c r="A845" s="6" t="s">
        <v>3</v>
      </c>
      <c r="B845" s="6" t="s">
        <v>2</v>
      </c>
      <c r="C845" s="6" t="s">
        <v>2</v>
      </c>
      <c r="D845" s="6" t="s">
        <v>2</v>
      </c>
      <c r="E845" s="6" t="s">
        <v>3</v>
      </c>
      <c r="F845" s="6" t="s">
        <v>3</v>
      </c>
      <c r="G845" s="6" t="s">
        <v>3</v>
      </c>
      <c r="H845" s="6" t="s">
        <v>2</v>
      </c>
      <c r="I845" s="6" t="s">
        <v>2</v>
      </c>
      <c r="J845" s="6" t="s">
        <v>1</v>
      </c>
    </row>
    <row r="846" spans="1:10" x14ac:dyDescent="0.3">
      <c r="A846" s="6" t="s">
        <v>3</v>
      </c>
      <c r="B846" s="6" t="s">
        <v>2</v>
      </c>
      <c r="C846" s="6" t="s">
        <v>3</v>
      </c>
      <c r="D846" s="6" t="s">
        <v>2</v>
      </c>
      <c r="E846" s="6" t="s">
        <v>2</v>
      </c>
      <c r="F846" s="6" t="s">
        <v>3</v>
      </c>
      <c r="G846" s="6" t="s">
        <v>2</v>
      </c>
      <c r="H846" s="6" t="s">
        <v>3</v>
      </c>
      <c r="I846" s="6" t="s">
        <v>2</v>
      </c>
      <c r="J846" s="6" t="s">
        <v>1</v>
      </c>
    </row>
    <row r="847" spans="1:10" x14ac:dyDescent="0.3">
      <c r="A847" s="6" t="s">
        <v>3</v>
      </c>
      <c r="B847" s="6" t="s">
        <v>2</v>
      </c>
      <c r="C847" s="6" t="s">
        <v>3</v>
      </c>
      <c r="D847" s="6" t="s">
        <v>2</v>
      </c>
      <c r="E847" s="6" t="s">
        <v>3</v>
      </c>
      <c r="F847" s="6" t="s">
        <v>2</v>
      </c>
      <c r="G847" s="6" t="s">
        <v>2</v>
      </c>
      <c r="H847" s="6" t="s">
        <v>3</v>
      </c>
      <c r="I847" s="6" t="s">
        <v>2</v>
      </c>
      <c r="J847" s="6" t="s">
        <v>1</v>
      </c>
    </row>
    <row r="848" spans="1:10" x14ac:dyDescent="0.3">
      <c r="A848" s="6" t="s">
        <v>3</v>
      </c>
      <c r="B848" s="6" t="s">
        <v>2</v>
      </c>
      <c r="C848" s="6" t="s">
        <v>3</v>
      </c>
      <c r="D848" s="6" t="s">
        <v>3</v>
      </c>
      <c r="E848" s="6" t="s">
        <v>2</v>
      </c>
      <c r="F848" s="6" t="s">
        <v>2</v>
      </c>
      <c r="G848" s="6" t="s">
        <v>2</v>
      </c>
      <c r="H848" s="6" t="s">
        <v>3</v>
      </c>
      <c r="I848" s="6" t="s">
        <v>2</v>
      </c>
      <c r="J848" s="6" t="s">
        <v>1</v>
      </c>
    </row>
    <row r="849" spans="1:10" x14ac:dyDescent="0.3">
      <c r="A849" s="6" t="s">
        <v>3</v>
      </c>
      <c r="B849" s="6" t="s">
        <v>3</v>
      </c>
      <c r="C849" s="6" t="s">
        <v>2</v>
      </c>
      <c r="D849" s="6" t="s">
        <v>2</v>
      </c>
      <c r="E849" s="6" t="s">
        <v>2</v>
      </c>
      <c r="F849" s="6" t="s">
        <v>3</v>
      </c>
      <c r="G849" s="6" t="s">
        <v>3</v>
      </c>
      <c r="H849" s="6" t="s">
        <v>2</v>
      </c>
      <c r="I849" s="6" t="s">
        <v>2</v>
      </c>
      <c r="J849" s="6" t="s">
        <v>1</v>
      </c>
    </row>
  </sheetData>
  <sortState xmlns:xlrd2="http://schemas.microsoft.com/office/spreadsheetml/2017/richdata2" ref="A2:J849">
    <sortCondition ref="J2:J849" customList="positive,negative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26B7-0427-4D98-BF93-AA6137947904}">
  <dimension ref="A1:J101"/>
  <sheetViews>
    <sheetView workbookViewId="0">
      <selection activeCell="A93" sqref="A93"/>
    </sheetView>
  </sheetViews>
  <sheetFormatPr baseColWidth="10" defaultRowHeight="15.6" x14ac:dyDescent="0.3"/>
  <cols>
    <col min="1" max="1" width="17.5546875" style="2" bestFit="1" customWidth="1"/>
    <col min="2" max="2" width="21.44140625" style="2" bestFit="1" customWidth="1"/>
    <col min="3" max="16384" width="11.5546875" style="2"/>
  </cols>
  <sheetData>
    <row r="1" spans="1:10" ht="17.399999999999999" x14ac:dyDescent="0.3">
      <c r="A1" s="4" t="s">
        <v>0</v>
      </c>
      <c r="B1" s="4" t="s">
        <v>13</v>
      </c>
      <c r="C1" s="4" t="s">
        <v>12</v>
      </c>
      <c r="D1" s="4" t="s">
        <v>11</v>
      </c>
      <c r="E1" s="4" t="s">
        <v>10</v>
      </c>
      <c r="F1" s="4" t="s">
        <v>9</v>
      </c>
      <c r="G1" s="4" t="s">
        <v>8</v>
      </c>
      <c r="H1" s="4" t="s">
        <v>7</v>
      </c>
      <c r="I1" s="4" t="s">
        <v>6</v>
      </c>
    </row>
    <row r="2" spans="1:10" x14ac:dyDescent="0.3">
      <c r="A2" s="3" t="s">
        <v>4</v>
      </c>
      <c r="B2" s="3" t="s">
        <v>4</v>
      </c>
      <c r="C2" s="3" t="s">
        <v>2</v>
      </c>
      <c r="D2" s="3" t="s">
        <v>3</v>
      </c>
      <c r="E2" s="3" t="s">
        <v>2</v>
      </c>
      <c r="F2" s="3" t="s">
        <v>4</v>
      </c>
      <c r="G2" s="3" t="s">
        <v>2</v>
      </c>
      <c r="H2" s="3" t="s">
        <v>4</v>
      </c>
      <c r="I2" s="3" t="s">
        <v>3</v>
      </c>
      <c r="J2" s="3" t="s">
        <v>5</v>
      </c>
    </row>
    <row r="3" spans="1:10" x14ac:dyDescent="0.3">
      <c r="A3" s="3" t="s">
        <v>4</v>
      </c>
      <c r="B3" s="3" t="s">
        <v>4</v>
      </c>
      <c r="C3" s="3" t="s">
        <v>2</v>
      </c>
      <c r="D3" s="3" t="s">
        <v>3</v>
      </c>
      <c r="E3" s="3" t="s">
        <v>3</v>
      </c>
      <c r="F3" s="3" t="s">
        <v>2</v>
      </c>
      <c r="G3" s="3" t="s">
        <v>2</v>
      </c>
      <c r="H3" s="3" t="s">
        <v>3</v>
      </c>
      <c r="I3" s="3" t="s">
        <v>2</v>
      </c>
      <c r="J3" s="3" t="s">
        <v>5</v>
      </c>
    </row>
    <row r="4" spans="1:10" x14ac:dyDescent="0.3">
      <c r="A4" s="3" t="s">
        <v>4</v>
      </c>
      <c r="B4" s="3" t="s">
        <v>4</v>
      </c>
      <c r="C4" s="3" t="s">
        <v>2</v>
      </c>
      <c r="D4" s="3" t="s">
        <v>3</v>
      </c>
      <c r="E4" s="3" t="s">
        <v>3</v>
      </c>
      <c r="F4" s="3" t="s">
        <v>2</v>
      </c>
      <c r="G4" s="3" t="s">
        <v>3</v>
      </c>
      <c r="H4" s="3" t="s">
        <v>2</v>
      </c>
      <c r="I4" s="3" t="s">
        <v>2</v>
      </c>
      <c r="J4" s="3" t="s">
        <v>5</v>
      </c>
    </row>
    <row r="5" spans="1:10" x14ac:dyDescent="0.3">
      <c r="A5" s="3" t="s">
        <v>4</v>
      </c>
      <c r="B5" s="3" t="s">
        <v>4</v>
      </c>
      <c r="C5" s="3" t="s">
        <v>2</v>
      </c>
      <c r="D5" s="3" t="s">
        <v>3</v>
      </c>
      <c r="E5" s="3" t="s">
        <v>3</v>
      </c>
      <c r="F5" s="3" t="s">
        <v>2</v>
      </c>
      <c r="G5" s="3" t="s">
        <v>4</v>
      </c>
      <c r="H5" s="3" t="s">
        <v>4</v>
      </c>
      <c r="I5" s="3" t="s">
        <v>2</v>
      </c>
      <c r="J5" s="3" t="s">
        <v>5</v>
      </c>
    </row>
    <row r="6" spans="1:10" x14ac:dyDescent="0.3">
      <c r="A6" s="3" t="s">
        <v>4</v>
      </c>
      <c r="B6" s="3" t="s">
        <v>4</v>
      </c>
      <c r="C6" s="3" t="s">
        <v>2</v>
      </c>
      <c r="D6" s="3" t="s">
        <v>3</v>
      </c>
      <c r="E6" s="3" t="s">
        <v>4</v>
      </c>
      <c r="F6" s="3" t="s">
        <v>2</v>
      </c>
      <c r="G6" s="3" t="s">
        <v>3</v>
      </c>
      <c r="H6" s="3" t="s">
        <v>4</v>
      </c>
      <c r="I6" s="3" t="s">
        <v>2</v>
      </c>
      <c r="J6" s="3" t="s">
        <v>5</v>
      </c>
    </row>
    <row r="7" spans="1:10" x14ac:dyDescent="0.3">
      <c r="A7" s="3" t="s">
        <v>4</v>
      </c>
      <c r="B7" s="3" t="s">
        <v>4</v>
      </c>
      <c r="C7" s="3" t="s">
        <v>2</v>
      </c>
      <c r="D7" s="3" t="s">
        <v>3</v>
      </c>
      <c r="E7" s="3" t="s">
        <v>4</v>
      </c>
      <c r="F7" s="3" t="s">
        <v>2</v>
      </c>
      <c r="G7" s="3" t="s">
        <v>4</v>
      </c>
      <c r="H7" s="3" t="s">
        <v>3</v>
      </c>
      <c r="I7" s="3" t="s">
        <v>2</v>
      </c>
      <c r="J7" s="3" t="s">
        <v>5</v>
      </c>
    </row>
    <row r="8" spans="1:10" x14ac:dyDescent="0.3">
      <c r="A8" s="3" t="s">
        <v>4</v>
      </c>
      <c r="B8" s="3" t="s">
        <v>4</v>
      </c>
      <c r="C8" s="3" t="s">
        <v>2</v>
      </c>
      <c r="D8" s="3" t="s">
        <v>4</v>
      </c>
      <c r="E8" s="3" t="s">
        <v>2</v>
      </c>
      <c r="F8" s="3" t="s">
        <v>3</v>
      </c>
      <c r="G8" s="3" t="s">
        <v>2</v>
      </c>
      <c r="H8" s="3" t="s">
        <v>3</v>
      </c>
      <c r="I8" s="3" t="s">
        <v>4</v>
      </c>
      <c r="J8" s="3" t="s">
        <v>5</v>
      </c>
    </row>
    <row r="9" spans="1:10" x14ac:dyDescent="0.3">
      <c r="A9" s="3" t="s">
        <v>4</v>
      </c>
      <c r="B9" s="3" t="s">
        <v>4</v>
      </c>
      <c r="C9" s="3" t="s">
        <v>2</v>
      </c>
      <c r="D9" s="3" t="s">
        <v>4</v>
      </c>
      <c r="E9" s="3" t="s">
        <v>2</v>
      </c>
      <c r="F9" s="3" t="s">
        <v>3</v>
      </c>
      <c r="G9" s="3" t="s">
        <v>2</v>
      </c>
      <c r="H9" s="3" t="s">
        <v>4</v>
      </c>
      <c r="I9" s="3" t="s">
        <v>3</v>
      </c>
      <c r="J9" s="3" t="s">
        <v>5</v>
      </c>
    </row>
    <row r="10" spans="1:10" x14ac:dyDescent="0.3">
      <c r="A10" s="3" t="s">
        <v>4</v>
      </c>
      <c r="B10" s="3" t="s">
        <v>4</v>
      </c>
      <c r="C10" s="3" t="s">
        <v>2</v>
      </c>
      <c r="D10" s="3" t="s">
        <v>4</v>
      </c>
      <c r="E10" s="3" t="s">
        <v>2</v>
      </c>
      <c r="F10" s="3" t="s">
        <v>4</v>
      </c>
      <c r="G10" s="3" t="s">
        <v>2</v>
      </c>
      <c r="H10" s="3" t="s">
        <v>3</v>
      </c>
      <c r="I10" s="3" t="s">
        <v>3</v>
      </c>
      <c r="J10" s="3" t="s">
        <v>5</v>
      </c>
    </row>
    <row r="11" spans="1:10" x14ac:dyDescent="0.3">
      <c r="A11" s="3" t="s">
        <v>4</v>
      </c>
      <c r="B11" s="3" t="s">
        <v>4</v>
      </c>
      <c r="C11" s="3" t="s">
        <v>2</v>
      </c>
      <c r="D11" s="3" t="s">
        <v>4</v>
      </c>
      <c r="E11" s="3" t="s">
        <v>3</v>
      </c>
      <c r="F11" s="3" t="s">
        <v>2</v>
      </c>
      <c r="G11" s="3" t="s">
        <v>3</v>
      </c>
      <c r="H11" s="3" t="s">
        <v>4</v>
      </c>
      <c r="I11" s="3" t="s">
        <v>2</v>
      </c>
      <c r="J11" s="3" t="s">
        <v>5</v>
      </c>
    </row>
    <row r="12" spans="1:10" x14ac:dyDescent="0.3">
      <c r="A12" s="3" t="s">
        <v>4</v>
      </c>
      <c r="B12" s="3" t="s">
        <v>4</v>
      </c>
      <c r="C12" s="3" t="s">
        <v>2</v>
      </c>
      <c r="D12" s="3" t="s">
        <v>4</v>
      </c>
      <c r="E12" s="3" t="s">
        <v>3</v>
      </c>
      <c r="F12" s="3" t="s">
        <v>2</v>
      </c>
      <c r="G12" s="3" t="s">
        <v>4</v>
      </c>
      <c r="H12" s="3" t="s">
        <v>3</v>
      </c>
      <c r="I12" s="3" t="s">
        <v>2</v>
      </c>
      <c r="J12" s="3" t="s">
        <v>5</v>
      </c>
    </row>
    <row r="13" spans="1:10" x14ac:dyDescent="0.3">
      <c r="A13" s="3" t="s">
        <v>4</v>
      </c>
      <c r="B13" s="3" t="s">
        <v>4</v>
      </c>
      <c r="C13" s="3" t="s">
        <v>2</v>
      </c>
      <c r="D13" s="3" t="s">
        <v>4</v>
      </c>
      <c r="E13" s="3" t="s">
        <v>4</v>
      </c>
      <c r="F13" s="3" t="s">
        <v>2</v>
      </c>
      <c r="G13" s="3" t="s">
        <v>3</v>
      </c>
      <c r="H13" s="3" t="s">
        <v>3</v>
      </c>
      <c r="I13" s="3" t="s">
        <v>2</v>
      </c>
      <c r="J13" s="3" t="s">
        <v>5</v>
      </c>
    </row>
    <row r="14" spans="1:10" x14ac:dyDescent="0.3">
      <c r="A14" s="3" t="s">
        <v>4</v>
      </c>
      <c r="B14" s="3" t="s">
        <v>4</v>
      </c>
      <c r="C14" s="3" t="s">
        <v>3</v>
      </c>
      <c r="D14" s="3" t="s">
        <v>2</v>
      </c>
      <c r="E14" s="3" t="s">
        <v>2</v>
      </c>
      <c r="F14" s="3" t="s">
        <v>2</v>
      </c>
      <c r="G14" s="3" t="s">
        <v>2</v>
      </c>
      <c r="H14" s="3" t="s">
        <v>3</v>
      </c>
      <c r="I14" s="3" t="s">
        <v>3</v>
      </c>
      <c r="J14" s="3" t="s">
        <v>5</v>
      </c>
    </row>
    <row r="15" spans="1:10" x14ac:dyDescent="0.3">
      <c r="A15" s="3" t="s">
        <v>4</v>
      </c>
      <c r="B15" s="3" t="s">
        <v>4</v>
      </c>
      <c r="C15" s="3" t="s">
        <v>3</v>
      </c>
      <c r="D15" s="3" t="s">
        <v>2</v>
      </c>
      <c r="E15" s="3" t="s">
        <v>2</v>
      </c>
      <c r="F15" s="3" t="s">
        <v>2</v>
      </c>
      <c r="G15" s="3" t="s">
        <v>3</v>
      </c>
      <c r="H15" s="3" t="s">
        <v>2</v>
      </c>
      <c r="I15" s="3" t="s">
        <v>3</v>
      </c>
      <c r="J15" s="3" t="s">
        <v>5</v>
      </c>
    </row>
    <row r="16" spans="1:10" x14ac:dyDescent="0.3">
      <c r="A16" s="3" t="s">
        <v>4</v>
      </c>
      <c r="B16" s="3" t="s">
        <v>4</v>
      </c>
      <c r="C16" s="3" t="s">
        <v>3</v>
      </c>
      <c r="D16" s="3" t="s">
        <v>2</v>
      </c>
      <c r="E16" s="3" t="s">
        <v>2</v>
      </c>
      <c r="F16" s="3" t="s">
        <v>2</v>
      </c>
      <c r="G16" s="3" t="s">
        <v>3</v>
      </c>
      <c r="H16" s="3" t="s">
        <v>3</v>
      </c>
      <c r="I16" s="3" t="s">
        <v>2</v>
      </c>
      <c r="J16" s="3" t="s">
        <v>5</v>
      </c>
    </row>
    <row r="17" spans="1:10" x14ac:dyDescent="0.3">
      <c r="A17" s="3" t="s">
        <v>4</v>
      </c>
      <c r="B17" s="3" t="s">
        <v>4</v>
      </c>
      <c r="C17" s="3" t="s">
        <v>3</v>
      </c>
      <c r="D17" s="3" t="s">
        <v>2</v>
      </c>
      <c r="E17" s="3" t="s">
        <v>2</v>
      </c>
      <c r="F17" s="3" t="s">
        <v>2</v>
      </c>
      <c r="G17" s="3" t="s">
        <v>3</v>
      </c>
      <c r="H17" s="3" t="s">
        <v>4</v>
      </c>
      <c r="I17" s="3" t="s">
        <v>4</v>
      </c>
      <c r="J17" s="3" t="s">
        <v>5</v>
      </c>
    </row>
    <row r="18" spans="1:10" x14ac:dyDescent="0.3">
      <c r="A18" s="3" t="s">
        <v>4</v>
      </c>
      <c r="B18" s="3" t="s">
        <v>4</v>
      </c>
      <c r="C18" s="3" t="s">
        <v>3</v>
      </c>
      <c r="D18" s="3" t="s">
        <v>2</v>
      </c>
      <c r="E18" s="3" t="s">
        <v>2</v>
      </c>
      <c r="F18" s="3" t="s">
        <v>2</v>
      </c>
      <c r="G18" s="3" t="s">
        <v>4</v>
      </c>
      <c r="H18" s="3" t="s">
        <v>3</v>
      </c>
      <c r="I18" s="3" t="s">
        <v>4</v>
      </c>
      <c r="J18" s="3" t="s">
        <v>5</v>
      </c>
    </row>
    <row r="19" spans="1:10" x14ac:dyDescent="0.3">
      <c r="A19" s="3" t="s">
        <v>4</v>
      </c>
      <c r="B19" s="3" t="s">
        <v>4</v>
      </c>
      <c r="C19" s="3" t="s">
        <v>3</v>
      </c>
      <c r="D19" s="3" t="s">
        <v>2</v>
      </c>
      <c r="E19" s="3" t="s">
        <v>2</v>
      </c>
      <c r="F19" s="3" t="s">
        <v>2</v>
      </c>
      <c r="G19" s="3" t="s">
        <v>4</v>
      </c>
      <c r="H19" s="3" t="s">
        <v>4</v>
      </c>
      <c r="I19" s="3" t="s">
        <v>3</v>
      </c>
      <c r="J19" s="3" t="s">
        <v>5</v>
      </c>
    </row>
    <row r="20" spans="1:10" x14ac:dyDescent="0.3">
      <c r="A20" s="3" t="s">
        <v>4</v>
      </c>
      <c r="B20" s="3" t="s">
        <v>4</v>
      </c>
      <c r="C20" s="3" t="s">
        <v>3</v>
      </c>
      <c r="D20" s="3" t="s">
        <v>2</v>
      </c>
      <c r="E20" s="3" t="s">
        <v>3</v>
      </c>
      <c r="F20" s="3" t="s">
        <v>3</v>
      </c>
      <c r="G20" s="3" t="s">
        <v>2</v>
      </c>
      <c r="H20" s="3" t="s">
        <v>2</v>
      </c>
      <c r="I20" s="3" t="s">
        <v>2</v>
      </c>
      <c r="J20" s="3" t="s">
        <v>5</v>
      </c>
    </row>
    <row r="21" spans="1:10" x14ac:dyDescent="0.3">
      <c r="A21" s="3" t="s">
        <v>4</v>
      </c>
      <c r="B21" s="3" t="s">
        <v>4</v>
      </c>
      <c r="C21" s="3" t="s">
        <v>3</v>
      </c>
      <c r="D21" s="3" t="s">
        <v>3</v>
      </c>
      <c r="E21" s="3" t="s">
        <v>2</v>
      </c>
      <c r="F21" s="3" t="s">
        <v>3</v>
      </c>
      <c r="G21" s="3" t="s">
        <v>2</v>
      </c>
      <c r="H21" s="3" t="s">
        <v>2</v>
      </c>
      <c r="I21" s="3" t="s">
        <v>2</v>
      </c>
      <c r="J21" s="3" t="s">
        <v>5</v>
      </c>
    </row>
    <row r="22" spans="1:10" x14ac:dyDescent="0.3">
      <c r="A22" s="3" t="s">
        <v>4</v>
      </c>
      <c r="B22" s="3" t="s">
        <v>4</v>
      </c>
      <c r="C22" s="3" t="s">
        <v>3</v>
      </c>
      <c r="D22" s="3" t="s">
        <v>3</v>
      </c>
      <c r="E22" s="3" t="s">
        <v>3</v>
      </c>
      <c r="F22" s="3" t="s">
        <v>2</v>
      </c>
      <c r="G22" s="3" t="s">
        <v>2</v>
      </c>
      <c r="H22" s="3" t="s">
        <v>2</v>
      </c>
      <c r="I22" s="3" t="s">
        <v>2</v>
      </c>
      <c r="J22" s="3" t="s">
        <v>5</v>
      </c>
    </row>
    <row r="23" spans="1:10" x14ac:dyDescent="0.3">
      <c r="A23" s="3" t="s">
        <v>4</v>
      </c>
      <c r="B23" s="3" t="s">
        <v>4</v>
      </c>
      <c r="C23" s="3" t="s">
        <v>3</v>
      </c>
      <c r="D23" s="3" t="s">
        <v>3</v>
      </c>
      <c r="E23" s="3" t="s">
        <v>4</v>
      </c>
      <c r="F23" s="3" t="s">
        <v>4</v>
      </c>
      <c r="G23" s="3" t="s">
        <v>2</v>
      </c>
      <c r="H23" s="3" t="s">
        <v>2</v>
      </c>
      <c r="I23" s="3" t="s">
        <v>2</v>
      </c>
      <c r="J23" s="3" t="s">
        <v>5</v>
      </c>
    </row>
    <row r="24" spans="1:10" x14ac:dyDescent="0.3">
      <c r="A24" s="3" t="s">
        <v>4</v>
      </c>
      <c r="B24" s="3" t="s">
        <v>4</v>
      </c>
      <c r="C24" s="3" t="s">
        <v>3</v>
      </c>
      <c r="D24" s="3" t="s">
        <v>4</v>
      </c>
      <c r="E24" s="3" t="s">
        <v>3</v>
      </c>
      <c r="F24" s="3" t="s">
        <v>4</v>
      </c>
      <c r="G24" s="3" t="s">
        <v>2</v>
      </c>
      <c r="H24" s="3" t="s">
        <v>2</v>
      </c>
      <c r="I24" s="3" t="s">
        <v>2</v>
      </c>
      <c r="J24" s="3" t="s">
        <v>5</v>
      </c>
    </row>
    <row r="25" spans="1:10" x14ac:dyDescent="0.3">
      <c r="A25" s="3" t="s">
        <v>4</v>
      </c>
      <c r="B25" s="3" t="s">
        <v>4</v>
      </c>
      <c r="C25" s="3" t="s">
        <v>3</v>
      </c>
      <c r="D25" s="3" t="s">
        <v>4</v>
      </c>
      <c r="E25" s="3" t="s">
        <v>4</v>
      </c>
      <c r="F25" s="3" t="s">
        <v>3</v>
      </c>
      <c r="G25" s="3" t="s">
        <v>2</v>
      </c>
      <c r="H25" s="3" t="s">
        <v>2</v>
      </c>
      <c r="I25" s="3" t="s">
        <v>2</v>
      </c>
      <c r="J25" s="3" t="s">
        <v>5</v>
      </c>
    </row>
    <row r="26" spans="1:10" x14ac:dyDescent="0.3">
      <c r="A26" s="3" t="s">
        <v>4</v>
      </c>
      <c r="B26" s="3" t="s">
        <v>4</v>
      </c>
      <c r="C26" s="3" t="s">
        <v>4</v>
      </c>
      <c r="D26" s="3" t="s">
        <v>2</v>
      </c>
      <c r="E26" s="3" t="s">
        <v>2</v>
      </c>
      <c r="F26" s="3" t="s">
        <v>2</v>
      </c>
      <c r="G26" s="3" t="s">
        <v>3</v>
      </c>
      <c r="H26" s="3" t="s">
        <v>3</v>
      </c>
      <c r="I26" s="3" t="s">
        <v>4</v>
      </c>
      <c r="J26" s="3" t="s">
        <v>5</v>
      </c>
    </row>
    <row r="27" spans="1:10" x14ac:dyDescent="0.3">
      <c r="A27" s="3" t="s">
        <v>4</v>
      </c>
      <c r="B27" s="3" t="s">
        <v>4</v>
      </c>
      <c r="C27" s="3" t="s">
        <v>4</v>
      </c>
      <c r="D27" s="3" t="s">
        <v>2</v>
      </c>
      <c r="E27" s="3" t="s">
        <v>2</v>
      </c>
      <c r="F27" s="3" t="s">
        <v>2</v>
      </c>
      <c r="G27" s="3" t="s">
        <v>3</v>
      </c>
      <c r="H27" s="3" t="s">
        <v>4</v>
      </c>
      <c r="I27" s="3" t="s">
        <v>3</v>
      </c>
      <c r="J27" s="3" t="s">
        <v>5</v>
      </c>
    </row>
    <row r="28" spans="1:10" x14ac:dyDescent="0.3">
      <c r="A28" s="3" t="s">
        <v>4</v>
      </c>
      <c r="B28" s="3" t="s">
        <v>4</v>
      </c>
      <c r="C28" s="3" t="s">
        <v>4</v>
      </c>
      <c r="D28" s="3" t="s">
        <v>2</v>
      </c>
      <c r="E28" s="3" t="s">
        <v>2</v>
      </c>
      <c r="F28" s="3" t="s">
        <v>2</v>
      </c>
      <c r="G28" s="3" t="s">
        <v>4</v>
      </c>
      <c r="H28" s="3" t="s">
        <v>3</v>
      </c>
      <c r="I28" s="3" t="s">
        <v>3</v>
      </c>
      <c r="J28" s="3" t="s">
        <v>5</v>
      </c>
    </row>
    <row r="29" spans="1:10" x14ac:dyDescent="0.3">
      <c r="A29" s="3" t="s">
        <v>4</v>
      </c>
      <c r="B29" s="3" t="s">
        <v>4</v>
      </c>
      <c r="C29" s="3" t="s">
        <v>4</v>
      </c>
      <c r="D29" s="3" t="s">
        <v>3</v>
      </c>
      <c r="E29" s="3" t="s">
        <v>3</v>
      </c>
      <c r="F29" s="3" t="s">
        <v>4</v>
      </c>
      <c r="G29" s="3" t="s">
        <v>2</v>
      </c>
      <c r="H29" s="3" t="s">
        <v>2</v>
      </c>
      <c r="I29" s="3" t="s">
        <v>2</v>
      </c>
      <c r="J29" s="3" t="s">
        <v>5</v>
      </c>
    </row>
    <row r="30" spans="1:10" x14ac:dyDescent="0.3">
      <c r="A30" s="3" t="s">
        <v>4</v>
      </c>
      <c r="B30" s="3" t="s">
        <v>4</v>
      </c>
      <c r="C30" s="3" t="s">
        <v>4</v>
      </c>
      <c r="D30" s="3" t="s">
        <v>3</v>
      </c>
      <c r="E30" s="3" t="s">
        <v>4</v>
      </c>
      <c r="F30" s="3" t="s">
        <v>3</v>
      </c>
      <c r="G30" s="3" t="s">
        <v>2</v>
      </c>
      <c r="H30" s="3" t="s">
        <v>2</v>
      </c>
      <c r="I30" s="3" t="s">
        <v>2</v>
      </c>
      <c r="J30" s="3" t="s">
        <v>5</v>
      </c>
    </row>
    <row r="31" spans="1:10" x14ac:dyDescent="0.3">
      <c r="A31" s="3" t="s">
        <v>4</v>
      </c>
      <c r="B31" s="3" t="s">
        <v>4</v>
      </c>
      <c r="C31" s="3" t="s">
        <v>4</v>
      </c>
      <c r="D31" s="3" t="s">
        <v>4</v>
      </c>
      <c r="E31" s="3" t="s">
        <v>3</v>
      </c>
      <c r="F31" s="3" t="s">
        <v>3</v>
      </c>
      <c r="G31" s="3" t="s">
        <v>2</v>
      </c>
      <c r="H31" s="3" t="s">
        <v>2</v>
      </c>
      <c r="I31" s="3" t="s">
        <v>2</v>
      </c>
      <c r="J31" s="3" t="s">
        <v>5</v>
      </c>
    </row>
    <row r="32" spans="1:10" x14ac:dyDescent="0.3">
      <c r="A32" s="3" t="s">
        <v>2</v>
      </c>
      <c r="B32" s="3" t="s">
        <v>2</v>
      </c>
      <c r="C32" s="3" t="s">
        <v>3</v>
      </c>
      <c r="D32" s="3" t="s">
        <v>2</v>
      </c>
      <c r="E32" s="3" t="s">
        <v>2</v>
      </c>
      <c r="F32" s="3" t="s">
        <v>3</v>
      </c>
      <c r="G32" s="3" t="s">
        <v>3</v>
      </c>
      <c r="H32" s="3" t="s">
        <v>4</v>
      </c>
      <c r="I32" s="3" t="s">
        <v>3</v>
      </c>
      <c r="J32" s="3" t="s">
        <v>1</v>
      </c>
    </row>
    <row r="33" spans="1:10" x14ac:dyDescent="0.3">
      <c r="A33" s="3" t="s">
        <v>2</v>
      </c>
      <c r="B33" s="3" t="s">
        <v>2</v>
      </c>
      <c r="C33" s="3" t="s">
        <v>3</v>
      </c>
      <c r="D33" s="3" t="s">
        <v>2</v>
      </c>
      <c r="E33" s="3" t="s">
        <v>2</v>
      </c>
      <c r="F33" s="3" t="s">
        <v>3</v>
      </c>
      <c r="G33" s="3" t="s">
        <v>4</v>
      </c>
      <c r="H33" s="3" t="s">
        <v>3</v>
      </c>
      <c r="I33" s="3" t="s">
        <v>3</v>
      </c>
      <c r="J33" s="3" t="s">
        <v>1</v>
      </c>
    </row>
    <row r="34" spans="1:10" x14ac:dyDescent="0.3">
      <c r="A34" s="3" t="s">
        <v>2</v>
      </c>
      <c r="B34" s="3" t="s">
        <v>2</v>
      </c>
      <c r="C34" s="3" t="s">
        <v>3</v>
      </c>
      <c r="D34" s="3" t="s">
        <v>2</v>
      </c>
      <c r="E34" s="3" t="s">
        <v>2</v>
      </c>
      <c r="F34" s="3" t="s">
        <v>4</v>
      </c>
      <c r="G34" s="3" t="s">
        <v>3</v>
      </c>
      <c r="H34" s="3" t="s">
        <v>3</v>
      </c>
      <c r="I34" s="3" t="s">
        <v>3</v>
      </c>
      <c r="J34" s="3" t="s">
        <v>1</v>
      </c>
    </row>
    <row r="35" spans="1:10" x14ac:dyDescent="0.3">
      <c r="A35" s="3" t="s">
        <v>2</v>
      </c>
      <c r="B35" s="3" t="s">
        <v>2</v>
      </c>
      <c r="C35" s="3" t="s">
        <v>3</v>
      </c>
      <c r="D35" s="3" t="s">
        <v>2</v>
      </c>
      <c r="E35" s="3" t="s">
        <v>3</v>
      </c>
      <c r="F35" s="3" t="s">
        <v>2</v>
      </c>
      <c r="G35" s="3" t="s">
        <v>3</v>
      </c>
      <c r="H35" s="3" t="s">
        <v>3</v>
      </c>
      <c r="I35" s="3" t="s">
        <v>4</v>
      </c>
      <c r="J35" s="3" t="s">
        <v>1</v>
      </c>
    </row>
    <row r="36" spans="1:10" x14ac:dyDescent="0.3">
      <c r="A36" s="3" t="s">
        <v>2</v>
      </c>
      <c r="B36" s="3" t="s">
        <v>2</v>
      </c>
      <c r="C36" s="3" t="s">
        <v>3</v>
      </c>
      <c r="D36" s="3" t="s">
        <v>2</v>
      </c>
      <c r="E36" s="3" t="s">
        <v>3</v>
      </c>
      <c r="F36" s="3" t="s">
        <v>2</v>
      </c>
      <c r="G36" s="3" t="s">
        <v>3</v>
      </c>
      <c r="H36" s="3" t="s">
        <v>4</v>
      </c>
      <c r="I36" s="3" t="s">
        <v>3</v>
      </c>
      <c r="J36" s="3" t="s">
        <v>1</v>
      </c>
    </row>
    <row r="37" spans="1:10" x14ac:dyDescent="0.3">
      <c r="A37" s="3" t="s">
        <v>2</v>
      </c>
      <c r="B37" s="3" t="s">
        <v>2</v>
      </c>
      <c r="C37" s="3" t="s">
        <v>3</v>
      </c>
      <c r="D37" s="3" t="s">
        <v>2</v>
      </c>
      <c r="E37" s="3" t="s">
        <v>3</v>
      </c>
      <c r="F37" s="3" t="s">
        <v>3</v>
      </c>
      <c r="G37" s="3" t="s">
        <v>3</v>
      </c>
      <c r="H37" s="3" t="s">
        <v>2</v>
      </c>
      <c r="I37" s="3" t="s">
        <v>4</v>
      </c>
      <c r="J37" s="3" t="s">
        <v>1</v>
      </c>
    </row>
    <row r="38" spans="1:10" x14ac:dyDescent="0.3">
      <c r="A38" s="3" t="s">
        <v>2</v>
      </c>
      <c r="B38" s="3" t="s">
        <v>2</v>
      </c>
      <c r="C38" s="3" t="s">
        <v>3</v>
      </c>
      <c r="D38" s="3" t="s">
        <v>2</v>
      </c>
      <c r="E38" s="3" t="s">
        <v>3</v>
      </c>
      <c r="F38" s="3" t="s">
        <v>3</v>
      </c>
      <c r="G38" s="3" t="s">
        <v>3</v>
      </c>
      <c r="H38" s="3" t="s">
        <v>4</v>
      </c>
      <c r="I38" s="3" t="s">
        <v>2</v>
      </c>
      <c r="J38" s="3" t="s">
        <v>1</v>
      </c>
    </row>
    <row r="39" spans="1:10" x14ac:dyDescent="0.3">
      <c r="A39" s="3" t="s">
        <v>2</v>
      </c>
      <c r="B39" s="3" t="s">
        <v>2</v>
      </c>
      <c r="C39" s="3" t="s">
        <v>3</v>
      </c>
      <c r="D39" s="3" t="s">
        <v>2</v>
      </c>
      <c r="E39" s="3" t="s">
        <v>3</v>
      </c>
      <c r="F39" s="3" t="s">
        <v>3</v>
      </c>
      <c r="G39" s="3" t="s">
        <v>4</v>
      </c>
      <c r="H39" s="3" t="s">
        <v>2</v>
      </c>
      <c r="I39" s="3" t="s">
        <v>3</v>
      </c>
      <c r="J39" s="3" t="s">
        <v>1</v>
      </c>
    </row>
    <row r="40" spans="1:10" x14ac:dyDescent="0.3">
      <c r="A40" s="3" t="s">
        <v>2</v>
      </c>
      <c r="B40" s="3" t="s">
        <v>2</v>
      </c>
      <c r="C40" s="3" t="s">
        <v>3</v>
      </c>
      <c r="D40" s="3" t="s">
        <v>2</v>
      </c>
      <c r="E40" s="3" t="s">
        <v>3</v>
      </c>
      <c r="F40" s="3" t="s">
        <v>4</v>
      </c>
      <c r="G40" s="3" t="s">
        <v>3</v>
      </c>
      <c r="H40" s="3" t="s">
        <v>2</v>
      </c>
      <c r="I40" s="3" t="s">
        <v>3</v>
      </c>
      <c r="J40" s="3" t="s">
        <v>1</v>
      </c>
    </row>
    <row r="41" spans="1:10" x14ac:dyDescent="0.3">
      <c r="A41" s="3" t="s">
        <v>2</v>
      </c>
      <c r="B41" s="3" t="s">
        <v>2</v>
      </c>
      <c r="C41" s="3" t="s">
        <v>3</v>
      </c>
      <c r="D41" s="3" t="s">
        <v>2</v>
      </c>
      <c r="E41" s="3" t="s">
        <v>3</v>
      </c>
      <c r="F41" s="3" t="s">
        <v>4</v>
      </c>
      <c r="G41" s="3" t="s">
        <v>3</v>
      </c>
      <c r="H41" s="3" t="s">
        <v>3</v>
      </c>
      <c r="I41" s="3" t="s">
        <v>2</v>
      </c>
      <c r="J41" s="3" t="s">
        <v>1</v>
      </c>
    </row>
    <row r="42" spans="1:10" x14ac:dyDescent="0.3">
      <c r="A42" s="3" t="s">
        <v>2</v>
      </c>
      <c r="B42" s="3" t="s">
        <v>2</v>
      </c>
      <c r="C42" s="3" t="s">
        <v>3</v>
      </c>
      <c r="D42" s="3" t="s">
        <v>2</v>
      </c>
      <c r="E42" s="3" t="s">
        <v>3</v>
      </c>
      <c r="F42" s="3" t="s">
        <v>4</v>
      </c>
      <c r="G42" s="3" t="s">
        <v>3</v>
      </c>
      <c r="H42" s="3" t="s">
        <v>4</v>
      </c>
      <c r="I42" s="3" t="s">
        <v>4</v>
      </c>
      <c r="J42" s="3" t="s">
        <v>1</v>
      </c>
    </row>
    <row r="43" spans="1:10" x14ac:dyDescent="0.3">
      <c r="A43" s="3" t="s">
        <v>2</v>
      </c>
      <c r="B43" s="3" t="s">
        <v>2</v>
      </c>
      <c r="C43" s="3" t="s">
        <v>3</v>
      </c>
      <c r="D43" s="3" t="s">
        <v>2</v>
      </c>
      <c r="E43" s="3" t="s">
        <v>4</v>
      </c>
      <c r="F43" s="3" t="s">
        <v>2</v>
      </c>
      <c r="G43" s="3" t="s">
        <v>3</v>
      </c>
      <c r="H43" s="3" t="s">
        <v>3</v>
      </c>
      <c r="I43" s="3" t="s">
        <v>3</v>
      </c>
      <c r="J43" s="3" t="s">
        <v>1</v>
      </c>
    </row>
    <row r="44" spans="1:10" x14ac:dyDescent="0.3">
      <c r="A44" s="3" t="s">
        <v>2</v>
      </c>
      <c r="B44" s="3" t="s">
        <v>2</v>
      </c>
      <c r="C44" s="3" t="s">
        <v>3</v>
      </c>
      <c r="D44" s="3" t="s">
        <v>2</v>
      </c>
      <c r="E44" s="3" t="s">
        <v>4</v>
      </c>
      <c r="F44" s="3" t="s">
        <v>3</v>
      </c>
      <c r="G44" s="3" t="s">
        <v>3</v>
      </c>
      <c r="H44" s="3" t="s">
        <v>2</v>
      </c>
      <c r="I44" s="3" t="s">
        <v>3</v>
      </c>
      <c r="J44" s="3" t="s">
        <v>1</v>
      </c>
    </row>
    <row r="45" spans="1:10" x14ac:dyDescent="0.3">
      <c r="A45" s="3" t="s">
        <v>2</v>
      </c>
      <c r="B45" s="3" t="s">
        <v>2</v>
      </c>
      <c r="C45" s="3" t="s">
        <v>3</v>
      </c>
      <c r="D45" s="3" t="s">
        <v>2</v>
      </c>
      <c r="E45" s="3" t="s">
        <v>4</v>
      </c>
      <c r="F45" s="3" t="s">
        <v>3</v>
      </c>
      <c r="G45" s="3" t="s">
        <v>4</v>
      </c>
      <c r="H45" s="3" t="s">
        <v>4</v>
      </c>
      <c r="I45" s="3" t="s">
        <v>3</v>
      </c>
      <c r="J45" s="3" t="s">
        <v>1</v>
      </c>
    </row>
    <row r="46" spans="1:10" x14ac:dyDescent="0.3">
      <c r="A46" s="3" t="s">
        <v>2</v>
      </c>
      <c r="B46" s="3" t="s">
        <v>2</v>
      </c>
      <c r="C46" s="3" t="s">
        <v>3</v>
      </c>
      <c r="D46" s="3" t="s">
        <v>3</v>
      </c>
      <c r="E46" s="3" t="s">
        <v>2</v>
      </c>
      <c r="F46" s="3" t="s">
        <v>3</v>
      </c>
      <c r="G46" s="3" t="s">
        <v>2</v>
      </c>
      <c r="H46" s="3" t="s">
        <v>4</v>
      </c>
      <c r="I46" s="3" t="s">
        <v>3</v>
      </c>
      <c r="J46" s="3" t="s">
        <v>1</v>
      </c>
    </row>
    <row r="47" spans="1:10" x14ac:dyDescent="0.3">
      <c r="A47" s="3" t="s">
        <v>2</v>
      </c>
      <c r="B47" s="3" t="s">
        <v>2</v>
      </c>
      <c r="C47" s="3" t="s">
        <v>3</v>
      </c>
      <c r="D47" s="3" t="s">
        <v>3</v>
      </c>
      <c r="E47" s="3" t="s">
        <v>3</v>
      </c>
      <c r="F47" s="3" t="s">
        <v>2</v>
      </c>
      <c r="G47" s="3" t="s">
        <v>3</v>
      </c>
      <c r="H47" s="3" t="s">
        <v>2</v>
      </c>
      <c r="I47" s="3" t="s">
        <v>4</v>
      </c>
      <c r="J47" s="3" t="s">
        <v>1</v>
      </c>
    </row>
    <row r="48" spans="1:10" x14ac:dyDescent="0.3">
      <c r="A48" s="3" t="s">
        <v>2</v>
      </c>
      <c r="B48" s="3" t="s">
        <v>2</v>
      </c>
      <c r="C48" s="3" t="s">
        <v>3</v>
      </c>
      <c r="D48" s="3" t="s">
        <v>3</v>
      </c>
      <c r="E48" s="3" t="s">
        <v>3</v>
      </c>
      <c r="F48" s="3" t="s">
        <v>2</v>
      </c>
      <c r="G48" s="3" t="s">
        <v>3</v>
      </c>
      <c r="H48" s="3" t="s">
        <v>4</v>
      </c>
      <c r="I48" s="3" t="s">
        <v>2</v>
      </c>
      <c r="J48" s="3" t="s">
        <v>1</v>
      </c>
    </row>
    <row r="49" spans="1:10" x14ac:dyDescent="0.3">
      <c r="A49" s="3" t="s">
        <v>2</v>
      </c>
      <c r="B49" s="3" t="s">
        <v>2</v>
      </c>
      <c r="C49" s="3" t="s">
        <v>3</v>
      </c>
      <c r="D49" s="3" t="s">
        <v>3</v>
      </c>
      <c r="E49" s="3" t="s">
        <v>3</v>
      </c>
      <c r="F49" s="3" t="s">
        <v>3</v>
      </c>
      <c r="G49" s="3" t="s">
        <v>2</v>
      </c>
      <c r="H49" s="3" t="s">
        <v>2</v>
      </c>
      <c r="I49" s="3" t="s">
        <v>4</v>
      </c>
      <c r="J49" s="3" t="s">
        <v>1</v>
      </c>
    </row>
    <row r="50" spans="1:10" x14ac:dyDescent="0.3">
      <c r="A50" s="3" t="s">
        <v>2</v>
      </c>
      <c r="B50" s="3" t="s">
        <v>2</v>
      </c>
      <c r="C50" s="3" t="s">
        <v>3</v>
      </c>
      <c r="D50" s="3" t="s">
        <v>3</v>
      </c>
      <c r="E50" s="3" t="s">
        <v>3</v>
      </c>
      <c r="F50" s="3" t="s">
        <v>3</v>
      </c>
      <c r="G50" s="3" t="s">
        <v>2</v>
      </c>
      <c r="H50" s="3" t="s">
        <v>4</v>
      </c>
      <c r="I50" s="3" t="s">
        <v>2</v>
      </c>
      <c r="J50" s="3" t="s">
        <v>1</v>
      </c>
    </row>
    <row r="51" spans="1:10" x14ac:dyDescent="0.3">
      <c r="A51" s="3" t="s">
        <v>2</v>
      </c>
      <c r="B51" s="3" t="s">
        <v>2</v>
      </c>
      <c r="C51" s="3" t="s">
        <v>3</v>
      </c>
      <c r="D51" s="3" t="s">
        <v>3</v>
      </c>
      <c r="E51" s="3" t="s">
        <v>3</v>
      </c>
      <c r="F51" s="3" t="s">
        <v>3</v>
      </c>
      <c r="G51" s="3" t="s">
        <v>4</v>
      </c>
      <c r="H51" s="3" t="s">
        <v>2</v>
      </c>
      <c r="I51" s="3" t="s">
        <v>2</v>
      </c>
      <c r="J51" s="3" t="s">
        <v>1</v>
      </c>
    </row>
    <row r="52" spans="1:10" x14ac:dyDescent="0.3">
      <c r="A52" s="3" t="s">
        <v>2</v>
      </c>
      <c r="B52" s="3" t="s">
        <v>2</v>
      </c>
      <c r="C52" s="3" t="s">
        <v>3</v>
      </c>
      <c r="D52" s="3" t="s">
        <v>3</v>
      </c>
      <c r="E52" s="3" t="s">
        <v>3</v>
      </c>
      <c r="F52" s="3" t="s">
        <v>4</v>
      </c>
      <c r="G52" s="3" t="s">
        <v>3</v>
      </c>
      <c r="H52" s="3" t="s">
        <v>2</v>
      </c>
      <c r="I52" s="3" t="s">
        <v>2</v>
      </c>
      <c r="J52" s="3" t="s">
        <v>1</v>
      </c>
    </row>
    <row r="53" spans="1:10" x14ac:dyDescent="0.3">
      <c r="A53" s="3" t="s">
        <v>2</v>
      </c>
      <c r="B53" s="3" t="s">
        <v>2</v>
      </c>
      <c r="C53" s="3" t="s">
        <v>3</v>
      </c>
      <c r="D53" s="3" t="s">
        <v>3</v>
      </c>
      <c r="E53" s="3" t="s">
        <v>4</v>
      </c>
      <c r="F53" s="3" t="s">
        <v>3</v>
      </c>
      <c r="G53" s="3" t="s">
        <v>2</v>
      </c>
      <c r="H53" s="3" t="s">
        <v>2</v>
      </c>
      <c r="I53" s="3" t="s">
        <v>3</v>
      </c>
      <c r="J53" s="3" t="s">
        <v>1</v>
      </c>
    </row>
    <row r="54" spans="1:10" x14ac:dyDescent="0.3">
      <c r="A54" s="3" t="s">
        <v>2</v>
      </c>
      <c r="B54" s="3" t="s">
        <v>2</v>
      </c>
      <c r="C54" s="3" t="s">
        <v>3</v>
      </c>
      <c r="D54" s="3" t="s">
        <v>4</v>
      </c>
      <c r="E54" s="3" t="s">
        <v>2</v>
      </c>
      <c r="F54" s="3" t="s">
        <v>2</v>
      </c>
      <c r="G54" s="3" t="s">
        <v>3</v>
      </c>
      <c r="H54" s="3" t="s">
        <v>3</v>
      </c>
      <c r="I54" s="3" t="s">
        <v>3</v>
      </c>
      <c r="J54" s="3" t="s">
        <v>1</v>
      </c>
    </row>
    <row r="55" spans="1:10" x14ac:dyDescent="0.3">
      <c r="A55" s="3" t="s">
        <v>2</v>
      </c>
      <c r="B55" s="3" t="s">
        <v>2</v>
      </c>
      <c r="C55" s="3" t="s">
        <v>3</v>
      </c>
      <c r="D55" s="3" t="s">
        <v>4</v>
      </c>
      <c r="E55" s="3" t="s">
        <v>2</v>
      </c>
      <c r="F55" s="3" t="s">
        <v>3</v>
      </c>
      <c r="G55" s="3" t="s">
        <v>2</v>
      </c>
      <c r="H55" s="3" t="s">
        <v>3</v>
      </c>
      <c r="I55" s="3" t="s">
        <v>3</v>
      </c>
      <c r="J55" s="3" t="s">
        <v>1</v>
      </c>
    </row>
    <row r="56" spans="1:10" x14ac:dyDescent="0.3">
      <c r="A56" s="3" t="s">
        <v>2</v>
      </c>
      <c r="B56" s="3" t="s">
        <v>2</v>
      </c>
      <c r="C56" s="3" t="s">
        <v>3</v>
      </c>
      <c r="D56" s="3" t="s">
        <v>4</v>
      </c>
      <c r="E56" s="3" t="s">
        <v>2</v>
      </c>
      <c r="F56" s="3" t="s">
        <v>3</v>
      </c>
      <c r="G56" s="3" t="s">
        <v>4</v>
      </c>
      <c r="H56" s="3" t="s">
        <v>4</v>
      </c>
      <c r="I56" s="3" t="s">
        <v>3</v>
      </c>
      <c r="J56" s="3" t="s">
        <v>1</v>
      </c>
    </row>
    <row r="57" spans="1:10" x14ac:dyDescent="0.3">
      <c r="A57" s="3" t="s">
        <v>2</v>
      </c>
      <c r="B57" s="3" t="s">
        <v>2</v>
      </c>
      <c r="C57" s="3" t="s">
        <v>3</v>
      </c>
      <c r="D57" s="3" t="s">
        <v>4</v>
      </c>
      <c r="E57" s="3" t="s">
        <v>3</v>
      </c>
      <c r="F57" s="3" t="s">
        <v>2</v>
      </c>
      <c r="G57" s="3" t="s">
        <v>3</v>
      </c>
      <c r="H57" s="3" t="s">
        <v>2</v>
      </c>
      <c r="I57" s="3" t="s">
        <v>3</v>
      </c>
      <c r="J57" s="3" t="s">
        <v>1</v>
      </c>
    </row>
    <row r="58" spans="1:10" x14ac:dyDescent="0.3">
      <c r="A58" s="3" t="s">
        <v>2</v>
      </c>
      <c r="B58" s="3" t="s">
        <v>2</v>
      </c>
      <c r="C58" s="3" t="s">
        <v>3</v>
      </c>
      <c r="D58" s="3" t="s">
        <v>4</v>
      </c>
      <c r="E58" s="3" t="s">
        <v>3</v>
      </c>
      <c r="F58" s="3" t="s">
        <v>2</v>
      </c>
      <c r="G58" s="3" t="s">
        <v>3</v>
      </c>
      <c r="H58" s="3" t="s">
        <v>3</v>
      </c>
      <c r="I58" s="3" t="s">
        <v>2</v>
      </c>
      <c r="J58" s="3" t="s">
        <v>1</v>
      </c>
    </row>
    <row r="59" spans="1:10" x14ac:dyDescent="0.3">
      <c r="A59" s="3" t="s">
        <v>2</v>
      </c>
      <c r="B59" s="3" t="s">
        <v>2</v>
      </c>
      <c r="C59" s="3" t="s">
        <v>3</v>
      </c>
      <c r="D59" s="3" t="s">
        <v>4</v>
      </c>
      <c r="E59" s="3" t="s">
        <v>3</v>
      </c>
      <c r="F59" s="3" t="s">
        <v>2</v>
      </c>
      <c r="G59" s="3" t="s">
        <v>3</v>
      </c>
      <c r="H59" s="3" t="s">
        <v>4</v>
      </c>
      <c r="I59" s="3" t="s">
        <v>4</v>
      </c>
      <c r="J59" s="3" t="s">
        <v>1</v>
      </c>
    </row>
    <row r="60" spans="1:10" x14ac:dyDescent="0.3">
      <c r="A60" s="3" t="s">
        <v>2</v>
      </c>
      <c r="B60" s="3" t="s">
        <v>2</v>
      </c>
      <c r="C60" s="3" t="s">
        <v>3</v>
      </c>
      <c r="D60" s="3" t="s">
        <v>4</v>
      </c>
      <c r="E60" s="3" t="s">
        <v>3</v>
      </c>
      <c r="F60" s="3" t="s">
        <v>3</v>
      </c>
      <c r="G60" s="3" t="s">
        <v>2</v>
      </c>
      <c r="H60" s="3" t="s">
        <v>2</v>
      </c>
      <c r="I60" s="3" t="s">
        <v>3</v>
      </c>
      <c r="J60" s="3" t="s">
        <v>1</v>
      </c>
    </row>
    <row r="61" spans="1:10" x14ac:dyDescent="0.3">
      <c r="A61" s="3" t="s">
        <v>2</v>
      </c>
      <c r="B61" s="3" t="s">
        <v>2</v>
      </c>
      <c r="C61" s="3" t="s">
        <v>3</v>
      </c>
      <c r="D61" s="3" t="s">
        <v>4</v>
      </c>
      <c r="E61" s="3" t="s">
        <v>3</v>
      </c>
      <c r="F61" s="3" t="s">
        <v>3</v>
      </c>
      <c r="G61" s="3" t="s">
        <v>3</v>
      </c>
      <c r="H61" s="3" t="s">
        <v>2</v>
      </c>
      <c r="I61" s="3" t="s">
        <v>2</v>
      </c>
      <c r="J61" s="3" t="s">
        <v>1</v>
      </c>
    </row>
    <row r="62" spans="1:10" x14ac:dyDescent="0.3">
      <c r="A62" s="3" t="s">
        <v>4</v>
      </c>
      <c r="B62" s="3" t="s">
        <v>2</v>
      </c>
      <c r="C62" s="3" t="s">
        <v>3</v>
      </c>
      <c r="D62" s="3" t="s">
        <v>3</v>
      </c>
      <c r="E62" s="3" t="s">
        <v>3</v>
      </c>
      <c r="F62" s="3" t="s">
        <v>4</v>
      </c>
      <c r="G62" s="3" t="s">
        <v>2</v>
      </c>
      <c r="H62" s="3" t="s">
        <v>2</v>
      </c>
      <c r="I62" s="3" t="s">
        <v>2</v>
      </c>
      <c r="J62" s="3" t="s">
        <v>5</v>
      </c>
    </row>
    <row r="63" spans="1:10" x14ac:dyDescent="0.3">
      <c r="A63" s="3" t="s">
        <v>4</v>
      </c>
      <c r="B63" s="3" t="s">
        <v>2</v>
      </c>
      <c r="C63" s="3" t="s">
        <v>3</v>
      </c>
      <c r="D63" s="3" t="s">
        <v>3</v>
      </c>
      <c r="E63" s="3" t="s">
        <v>4</v>
      </c>
      <c r="F63" s="3" t="s">
        <v>3</v>
      </c>
      <c r="G63" s="3" t="s">
        <v>2</v>
      </c>
      <c r="H63" s="3" t="s">
        <v>2</v>
      </c>
      <c r="I63" s="3" t="s">
        <v>2</v>
      </c>
      <c r="J63" s="3" t="s">
        <v>5</v>
      </c>
    </row>
    <row r="64" spans="1:10" x14ac:dyDescent="0.3">
      <c r="A64" s="3" t="s">
        <v>4</v>
      </c>
      <c r="B64" s="3" t="s">
        <v>2</v>
      </c>
      <c r="C64" s="3" t="s">
        <v>3</v>
      </c>
      <c r="D64" s="3" t="s">
        <v>4</v>
      </c>
      <c r="E64" s="3" t="s">
        <v>2</v>
      </c>
      <c r="F64" s="3" t="s">
        <v>2</v>
      </c>
      <c r="G64" s="3" t="s">
        <v>3</v>
      </c>
      <c r="H64" s="3" t="s">
        <v>2</v>
      </c>
      <c r="I64" s="3" t="s">
        <v>3</v>
      </c>
      <c r="J64" s="3" t="s">
        <v>5</v>
      </c>
    </row>
    <row r="65" spans="1:10" x14ac:dyDescent="0.3">
      <c r="A65" s="3" t="s">
        <v>4</v>
      </c>
      <c r="B65" s="3" t="s">
        <v>2</v>
      </c>
      <c r="C65" s="3" t="s">
        <v>3</v>
      </c>
      <c r="D65" s="3" t="s">
        <v>4</v>
      </c>
      <c r="E65" s="3" t="s">
        <v>2</v>
      </c>
      <c r="F65" s="3" t="s">
        <v>3</v>
      </c>
      <c r="G65" s="3" t="s">
        <v>3</v>
      </c>
      <c r="H65" s="3" t="s">
        <v>2</v>
      </c>
      <c r="I65" s="3" t="s">
        <v>2</v>
      </c>
      <c r="J65" s="3" t="s">
        <v>5</v>
      </c>
    </row>
    <row r="66" spans="1:10" x14ac:dyDescent="0.3">
      <c r="A66" s="3" t="s">
        <v>4</v>
      </c>
      <c r="B66" s="3" t="s">
        <v>2</v>
      </c>
      <c r="C66" s="3" t="s">
        <v>3</v>
      </c>
      <c r="D66" s="3" t="s">
        <v>4</v>
      </c>
      <c r="E66" s="3" t="s">
        <v>2</v>
      </c>
      <c r="F66" s="3" t="s">
        <v>3</v>
      </c>
      <c r="G66" s="3" t="s">
        <v>4</v>
      </c>
      <c r="H66" s="3" t="s">
        <v>2</v>
      </c>
      <c r="I66" s="3" t="s">
        <v>4</v>
      </c>
      <c r="J66" s="3" t="s">
        <v>5</v>
      </c>
    </row>
    <row r="67" spans="1:10" x14ac:dyDescent="0.3">
      <c r="A67" s="3" t="s">
        <v>4</v>
      </c>
      <c r="B67" s="3" t="s">
        <v>2</v>
      </c>
      <c r="C67" s="3" t="s">
        <v>3</v>
      </c>
      <c r="D67" s="3" t="s">
        <v>4</v>
      </c>
      <c r="E67" s="3" t="s">
        <v>2</v>
      </c>
      <c r="F67" s="3" t="s">
        <v>4</v>
      </c>
      <c r="G67" s="3" t="s">
        <v>3</v>
      </c>
      <c r="H67" s="3" t="s">
        <v>2</v>
      </c>
      <c r="I67" s="3" t="s">
        <v>4</v>
      </c>
      <c r="J67" s="3" t="s">
        <v>5</v>
      </c>
    </row>
    <row r="68" spans="1:10" x14ac:dyDescent="0.3">
      <c r="A68" s="3" t="s">
        <v>4</v>
      </c>
      <c r="B68" s="3" t="s">
        <v>2</v>
      </c>
      <c r="C68" s="3" t="s">
        <v>3</v>
      </c>
      <c r="D68" s="3" t="s">
        <v>4</v>
      </c>
      <c r="E68" s="3" t="s">
        <v>2</v>
      </c>
      <c r="F68" s="3" t="s">
        <v>4</v>
      </c>
      <c r="G68" s="3" t="s">
        <v>4</v>
      </c>
      <c r="H68" s="3" t="s">
        <v>2</v>
      </c>
      <c r="I68" s="3" t="s">
        <v>3</v>
      </c>
      <c r="J68" s="3" t="s">
        <v>5</v>
      </c>
    </row>
    <row r="69" spans="1:10" x14ac:dyDescent="0.3">
      <c r="A69" s="3" t="s">
        <v>4</v>
      </c>
      <c r="B69" s="3" t="s">
        <v>2</v>
      </c>
      <c r="C69" s="3" t="s">
        <v>3</v>
      </c>
      <c r="D69" s="3" t="s">
        <v>4</v>
      </c>
      <c r="E69" s="3" t="s">
        <v>3</v>
      </c>
      <c r="F69" s="3" t="s">
        <v>3</v>
      </c>
      <c r="G69" s="3" t="s">
        <v>2</v>
      </c>
      <c r="H69" s="3" t="s">
        <v>2</v>
      </c>
      <c r="I69" s="3" t="s">
        <v>2</v>
      </c>
      <c r="J69" s="3" t="s">
        <v>5</v>
      </c>
    </row>
    <row r="70" spans="1:10" x14ac:dyDescent="0.3">
      <c r="A70" s="3" t="s">
        <v>4</v>
      </c>
      <c r="B70" s="3" t="s">
        <v>2</v>
      </c>
      <c r="C70" s="3" t="s">
        <v>4</v>
      </c>
      <c r="D70" s="3" t="s">
        <v>2</v>
      </c>
      <c r="E70" s="3" t="s">
        <v>2</v>
      </c>
      <c r="F70" s="3" t="s">
        <v>3</v>
      </c>
      <c r="G70" s="3" t="s">
        <v>3</v>
      </c>
      <c r="H70" s="3" t="s">
        <v>2</v>
      </c>
      <c r="I70" s="3" t="s">
        <v>3</v>
      </c>
      <c r="J70" s="3" t="s">
        <v>5</v>
      </c>
    </row>
    <row r="71" spans="1:10" x14ac:dyDescent="0.3">
      <c r="A71" s="3" t="s">
        <v>4</v>
      </c>
      <c r="B71" s="3" t="s">
        <v>2</v>
      </c>
      <c r="C71" s="3" t="s">
        <v>4</v>
      </c>
      <c r="D71" s="3" t="s">
        <v>3</v>
      </c>
      <c r="E71" s="3" t="s">
        <v>2</v>
      </c>
      <c r="F71" s="3" t="s">
        <v>2</v>
      </c>
      <c r="G71" s="3" t="s">
        <v>3</v>
      </c>
      <c r="H71" s="3" t="s">
        <v>2</v>
      </c>
      <c r="I71" s="3" t="s">
        <v>3</v>
      </c>
      <c r="J71" s="3" t="s">
        <v>5</v>
      </c>
    </row>
    <row r="72" spans="1:10" x14ac:dyDescent="0.3">
      <c r="A72" s="3" t="s">
        <v>2</v>
      </c>
      <c r="B72" s="3" t="s">
        <v>3</v>
      </c>
      <c r="C72" s="3" t="s">
        <v>2</v>
      </c>
      <c r="D72" s="3" t="s">
        <v>2</v>
      </c>
      <c r="E72" s="3" t="s">
        <v>3</v>
      </c>
      <c r="F72" s="3" t="s">
        <v>3</v>
      </c>
      <c r="G72" s="3" t="s">
        <v>4</v>
      </c>
      <c r="H72" s="3" t="s">
        <v>3</v>
      </c>
      <c r="I72" s="3" t="s">
        <v>2</v>
      </c>
      <c r="J72" s="3" t="s">
        <v>1</v>
      </c>
    </row>
    <row r="73" spans="1:10" x14ac:dyDescent="0.3">
      <c r="A73" s="3" t="s">
        <v>2</v>
      </c>
      <c r="B73" s="3" t="s">
        <v>3</v>
      </c>
      <c r="C73" s="3" t="s">
        <v>2</v>
      </c>
      <c r="D73" s="3" t="s">
        <v>2</v>
      </c>
      <c r="E73" s="3" t="s">
        <v>3</v>
      </c>
      <c r="F73" s="3" t="s">
        <v>4</v>
      </c>
      <c r="G73" s="3" t="s">
        <v>3</v>
      </c>
      <c r="H73" s="3" t="s">
        <v>3</v>
      </c>
      <c r="I73" s="3" t="s">
        <v>2</v>
      </c>
      <c r="J73" s="3" t="s">
        <v>1</v>
      </c>
    </row>
    <row r="74" spans="1:10" x14ac:dyDescent="0.3">
      <c r="A74" s="3" t="s">
        <v>2</v>
      </c>
      <c r="B74" s="3" t="s">
        <v>3</v>
      </c>
      <c r="C74" s="3" t="s">
        <v>2</v>
      </c>
      <c r="D74" s="3" t="s">
        <v>2</v>
      </c>
      <c r="E74" s="3" t="s">
        <v>3</v>
      </c>
      <c r="F74" s="3" t="s">
        <v>4</v>
      </c>
      <c r="G74" s="3" t="s">
        <v>4</v>
      </c>
      <c r="H74" s="3" t="s">
        <v>3</v>
      </c>
      <c r="I74" s="3" t="s">
        <v>4</v>
      </c>
      <c r="J74" s="3" t="s">
        <v>1</v>
      </c>
    </row>
    <row r="75" spans="1:10" x14ac:dyDescent="0.3">
      <c r="A75" s="3" t="s">
        <v>2</v>
      </c>
      <c r="B75" s="3" t="s">
        <v>3</v>
      </c>
      <c r="C75" s="3" t="s">
        <v>2</v>
      </c>
      <c r="D75" s="3" t="s">
        <v>2</v>
      </c>
      <c r="E75" s="3" t="s">
        <v>4</v>
      </c>
      <c r="F75" s="3" t="s">
        <v>2</v>
      </c>
      <c r="G75" s="3" t="s">
        <v>3</v>
      </c>
      <c r="H75" s="3" t="s">
        <v>3</v>
      </c>
      <c r="I75" s="3" t="s">
        <v>3</v>
      </c>
      <c r="J75" s="3" t="s">
        <v>1</v>
      </c>
    </row>
    <row r="76" spans="1:10" x14ac:dyDescent="0.3">
      <c r="A76" s="3" t="s">
        <v>2</v>
      </c>
      <c r="B76" s="3" t="s">
        <v>3</v>
      </c>
      <c r="C76" s="3" t="s">
        <v>2</v>
      </c>
      <c r="D76" s="3" t="s">
        <v>3</v>
      </c>
      <c r="E76" s="3" t="s">
        <v>3</v>
      </c>
      <c r="F76" s="3" t="s">
        <v>2</v>
      </c>
      <c r="G76" s="3" t="s">
        <v>2</v>
      </c>
      <c r="H76" s="3" t="s">
        <v>3</v>
      </c>
      <c r="I76" s="3" t="s">
        <v>4</v>
      </c>
      <c r="J76" s="3" t="s">
        <v>1</v>
      </c>
    </row>
    <row r="77" spans="1:10" x14ac:dyDescent="0.3">
      <c r="A77" s="3" t="s">
        <v>2</v>
      </c>
      <c r="B77" s="3" t="s">
        <v>3</v>
      </c>
      <c r="C77" s="3" t="s">
        <v>2</v>
      </c>
      <c r="D77" s="3" t="s">
        <v>3</v>
      </c>
      <c r="E77" s="3" t="s">
        <v>3</v>
      </c>
      <c r="F77" s="3" t="s">
        <v>3</v>
      </c>
      <c r="G77" s="3" t="s">
        <v>2</v>
      </c>
      <c r="H77" s="3" t="s">
        <v>2</v>
      </c>
      <c r="I77" s="3" t="s">
        <v>4</v>
      </c>
      <c r="J77" s="3" t="s">
        <v>1</v>
      </c>
    </row>
    <row r="78" spans="1:10" x14ac:dyDescent="0.3">
      <c r="A78" s="3" t="s">
        <v>2</v>
      </c>
      <c r="B78" s="3" t="s">
        <v>3</v>
      </c>
      <c r="C78" s="3" t="s">
        <v>2</v>
      </c>
      <c r="D78" s="3" t="s">
        <v>3</v>
      </c>
      <c r="E78" s="3" t="s">
        <v>3</v>
      </c>
      <c r="F78" s="3" t="s">
        <v>3</v>
      </c>
      <c r="G78" s="3" t="s">
        <v>2</v>
      </c>
      <c r="H78" s="3" t="s">
        <v>4</v>
      </c>
      <c r="I78" s="3" t="s">
        <v>2</v>
      </c>
      <c r="J78" s="3" t="s">
        <v>1</v>
      </c>
    </row>
    <row r="79" spans="1:10" x14ac:dyDescent="0.3">
      <c r="A79" s="3" t="s">
        <v>2</v>
      </c>
      <c r="B79" s="3" t="s">
        <v>3</v>
      </c>
      <c r="C79" s="3" t="s">
        <v>2</v>
      </c>
      <c r="D79" s="3" t="s">
        <v>3</v>
      </c>
      <c r="E79" s="3" t="s">
        <v>3</v>
      </c>
      <c r="F79" s="3" t="s">
        <v>3</v>
      </c>
      <c r="G79" s="3" t="s">
        <v>4</v>
      </c>
      <c r="H79" s="3" t="s">
        <v>2</v>
      </c>
      <c r="I79" s="3" t="s">
        <v>2</v>
      </c>
      <c r="J79" s="3" t="s">
        <v>1</v>
      </c>
    </row>
    <row r="80" spans="1:10" x14ac:dyDescent="0.3">
      <c r="A80" s="3" t="s">
        <v>2</v>
      </c>
      <c r="B80" s="3" t="s">
        <v>3</v>
      </c>
      <c r="C80" s="3" t="s">
        <v>2</v>
      </c>
      <c r="D80" s="3" t="s">
        <v>3</v>
      </c>
      <c r="E80" s="3" t="s">
        <v>3</v>
      </c>
      <c r="F80" s="3" t="s">
        <v>4</v>
      </c>
      <c r="G80" s="3" t="s">
        <v>2</v>
      </c>
      <c r="H80" s="3" t="s">
        <v>3</v>
      </c>
      <c r="I80" s="3" t="s">
        <v>2</v>
      </c>
      <c r="J80" s="3" t="s">
        <v>1</v>
      </c>
    </row>
    <row r="81" spans="1:10" x14ac:dyDescent="0.3">
      <c r="A81" s="3" t="s">
        <v>2</v>
      </c>
      <c r="B81" s="3" t="s">
        <v>3</v>
      </c>
      <c r="C81" s="3" t="s">
        <v>2</v>
      </c>
      <c r="D81" s="3" t="s">
        <v>4</v>
      </c>
      <c r="E81" s="3" t="s">
        <v>2</v>
      </c>
      <c r="F81" s="3" t="s">
        <v>2</v>
      </c>
      <c r="G81" s="3" t="s">
        <v>3</v>
      </c>
      <c r="H81" s="3" t="s">
        <v>3</v>
      </c>
      <c r="I81" s="3" t="s">
        <v>3</v>
      </c>
      <c r="J81" s="3" t="s">
        <v>1</v>
      </c>
    </row>
    <row r="82" spans="1:10" x14ac:dyDescent="0.3">
      <c r="A82" s="3" t="s">
        <v>3</v>
      </c>
      <c r="B82" s="3" t="s">
        <v>2</v>
      </c>
      <c r="C82" s="3" t="s">
        <v>2</v>
      </c>
      <c r="D82" s="3" t="s">
        <v>3</v>
      </c>
      <c r="E82" s="3" t="s">
        <v>4</v>
      </c>
      <c r="F82" s="3" t="s">
        <v>2</v>
      </c>
      <c r="G82" s="3" t="s">
        <v>3</v>
      </c>
      <c r="H82" s="3" t="s">
        <v>4</v>
      </c>
      <c r="I82" s="3" t="s">
        <v>4</v>
      </c>
      <c r="J82" s="3" t="s">
        <v>1</v>
      </c>
    </row>
    <row r="83" spans="1:10" x14ac:dyDescent="0.3">
      <c r="A83" s="3" t="s">
        <v>3</v>
      </c>
      <c r="B83" s="3" t="s">
        <v>2</v>
      </c>
      <c r="C83" s="3" t="s">
        <v>2</v>
      </c>
      <c r="D83" s="3" t="s">
        <v>3</v>
      </c>
      <c r="E83" s="3" t="s">
        <v>4</v>
      </c>
      <c r="F83" s="3" t="s">
        <v>3</v>
      </c>
      <c r="G83" s="3" t="s">
        <v>3</v>
      </c>
      <c r="H83" s="3" t="s">
        <v>2</v>
      </c>
      <c r="I83" s="3" t="s">
        <v>2</v>
      </c>
      <c r="J83" s="3" t="s">
        <v>1</v>
      </c>
    </row>
    <row r="84" spans="1:10" x14ac:dyDescent="0.3">
      <c r="A84" s="3" t="s">
        <v>3</v>
      </c>
      <c r="B84" s="3" t="s">
        <v>2</v>
      </c>
      <c r="C84" s="3" t="s">
        <v>2</v>
      </c>
      <c r="D84" s="3" t="s">
        <v>3</v>
      </c>
      <c r="E84" s="3" t="s">
        <v>4</v>
      </c>
      <c r="F84" s="3" t="s">
        <v>4</v>
      </c>
      <c r="G84" s="3" t="s">
        <v>3</v>
      </c>
      <c r="H84" s="3" t="s">
        <v>2</v>
      </c>
      <c r="I84" s="3" t="s">
        <v>4</v>
      </c>
      <c r="J84" s="3" t="s">
        <v>1</v>
      </c>
    </row>
    <row r="85" spans="1:10" x14ac:dyDescent="0.3">
      <c r="A85" s="3" t="s">
        <v>3</v>
      </c>
      <c r="B85" s="3" t="s">
        <v>2</v>
      </c>
      <c r="C85" s="3" t="s">
        <v>2</v>
      </c>
      <c r="D85" s="3" t="s">
        <v>3</v>
      </c>
      <c r="E85" s="3" t="s">
        <v>4</v>
      </c>
      <c r="F85" s="3" t="s">
        <v>4</v>
      </c>
      <c r="G85" s="3" t="s">
        <v>3</v>
      </c>
      <c r="H85" s="3" t="s">
        <v>4</v>
      </c>
      <c r="I85" s="3" t="s">
        <v>2</v>
      </c>
      <c r="J85" s="3" t="s">
        <v>1</v>
      </c>
    </row>
    <row r="86" spans="1:10" x14ac:dyDescent="0.3">
      <c r="A86" s="3" t="s">
        <v>3</v>
      </c>
      <c r="B86" s="3" t="s">
        <v>2</v>
      </c>
      <c r="C86" s="3" t="s">
        <v>2</v>
      </c>
      <c r="D86" s="3" t="s">
        <v>4</v>
      </c>
      <c r="E86" s="3" t="s">
        <v>2</v>
      </c>
      <c r="F86" s="3" t="s">
        <v>2</v>
      </c>
      <c r="G86" s="3" t="s">
        <v>3</v>
      </c>
      <c r="H86" s="3" t="s">
        <v>3</v>
      </c>
      <c r="I86" s="3" t="s">
        <v>3</v>
      </c>
      <c r="J86" s="3" t="s">
        <v>1</v>
      </c>
    </row>
    <row r="87" spans="1:10" x14ac:dyDescent="0.3">
      <c r="A87" s="3" t="s">
        <v>3</v>
      </c>
      <c r="B87" s="3" t="s">
        <v>2</v>
      </c>
      <c r="C87" s="3" t="s">
        <v>2</v>
      </c>
      <c r="D87" s="3" t="s">
        <v>4</v>
      </c>
      <c r="E87" s="3" t="s">
        <v>3</v>
      </c>
      <c r="F87" s="3" t="s">
        <v>2</v>
      </c>
      <c r="G87" s="3" t="s">
        <v>2</v>
      </c>
      <c r="H87" s="3" t="s">
        <v>3</v>
      </c>
      <c r="I87" s="3" t="s">
        <v>3</v>
      </c>
      <c r="J87" s="3" t="s">
        <v>1</v>
      </c>
    </row>
    <row r="88" spans="1:10" x14ac:dyDescent="0.3">
      <c r="A88" s="3" t="s">
        <v>3</v>
      </c>
      <c r="B88" s="3" t="s">
        <v>2</v>
      </c>
      <c r="C88" s="3" t="s">
        <v>2</v>
      </c>
      <c r="D88" s="3" t="s">
        <v>4</v>
      </c>
      <c r="E88" s="3" t="s">
        <v>3</v>
      </c>
      <c r="F88" s="3" t="s">
        <v>2</v>
      </c>
      <c r="G88" s="3" t="s">
        <v>3</v>
      </c>
      <c r="H88" s="3" t="s">
        <v>2</v>
      </c>
      <c r="I88" s="3" t="s">
        <v>3</v>
      </c>
      <c r="J88" s="3" t="s">
        <v>1</v>
      </c>
    </row>
    <row r="89" spans="1:10" x14ac:dyDescent="0.3">
      <c r="A89" s="3" t="s">
        <v>3</v>
      </c>
      <c r="B89" s="3" t="s">
        <v>2</v>
      </c>
      <c r="C89" s="3" t="s">
        <v>2</v>
      </c>
      <c r="D89" s="3" t="s">
        <v>4</v>
      </c>
      <c r="E89" s="3" t="s">
        <v>3</v>
      </c>
      <c r="F89" s="3" t="s">
        <v>2</v>
      </c>
      <c r="G89" s="3" t="s">
        <v>4</v>
      </c>
      <c r="H89" s="3" t="s">
        <v>4</v>
      </c>
      <c r="I89" s="3" t="s">
        <v>3</v>
      </c>
      <c r="J89" s="3" t="s">
        <v>1</v>
      </c>
    </row>
    <row r="90" spans="1:10" x14ac:dyDescent="0.3">
      <c r="A90" s="3" t="s">
        <v>3</v>
      </c>
      <c r="B90" s="3" t="s">
        <v>2</v>
      </c>
      <c r="C90" s="3" t="s">
        <v>2</v>
      </c>
      <c r="D90" s="3" t="s">
        <v>4</v>
      </c>
      <c r="E90" s="3" t="s">
        <v>3</v>
      </c>
      <c r="F90" s="3" t="s">
        <v>3</v>
      </c>
      <c r="G90" s="3" t="s">
        <v>2</v>
      </c>
      <c r="H90" s="3" t="s">
        <v>2</v>
      </c>
      <c r="I90" s="3" t="s">
        <v>3</v>
      </c>
      <c r="J90" s="3" t="s">
        <v>1</v>
      </c>
    </row>
    <row r="91" spans="1:10" x14ac:dyDescent="0.3">
      <c r="A91" s="3" t="s">
        <v>3</v>
      </c>
      <c r="B91" s="3" t="s">
        <v>2</v>
      </c>
      <c r="C91" s="3" t="s">
        <v>2</v>
      </c>
      <c r="D91" s="3" t="s">
        <v>4</v>
      </c>
      <c r="E91" s="3" t="s">
        <v>3</v>
      </c>
      <c r="F91" s="3" t="s">
        <v>4</v>
      </c>
      <c r="G91" s="3" t="s">
        <v>2</v>
      </c>
      <c r="H91" s="3" t="s">
        <v>4</v>
      </c>
      <c r="I91" s="3" t="s">
        <v>3</v>
      </c>
      <c r="J91" s="3" t="s">
        <v>1</v>
      </c>
    </row>
    <row r="92" spans="1:10" x14ac:dyDescent="0.3">
      <c r="A92" s="3" t="s">
        <v>3</v>
      </c>
      <c r="B92" s="3" t="s">
        <v>4</v>
      </c>
      <c r="C92" s="3" t="s">
        <v>2</v>
      </c>
      <c r="D92" s="3" t="s">
        <v>3</v>
      </c>
      <c r="E92" s="3" t="s">
        <v>2</v>
      </c>
      <c r="F92" s="3" t="s">
        <v>3</v>
      </c>
      <c r="G92" s="3" t="s">
        <v>2</v>
      </c>
      <c r="H92" s="3" t="s">
        <v>2</v>
      </c>
      <c r="I92" s="3" t="s">
        <v>4</v>
      </c>
      <c r="J92" s="3" t="s">
        <v>5</v>
      </c>
    </row>
    <row r="93" spans="1:10" x14ac:dyDescent="0.3">
      <c r="A93" s="3" t="s">
        <v>3</v>
      </c>
      <c r="B93" s="3" t="s">
        <v>4</v>
      </c>
      <c r="C93" s="3" t="s">
        <v>2</v>
      </c>
      <c r="D93" s="3" t="s">
        <v>3</v>
      </c>
      <c r="E93" s="3" t="s">
        <v>2</v>
      </c>
      <c r="F93" s="3" t="s">
        <v>3</v>
      </c>
      <c r="G93" s="3" t="s">
        <v>2</v>
      </c>
      <c r="H93" s="3" t="s">
        <v>4</v>
      </c>
      <c r="I93" s="3" t="s">
        <v>2</v>
      </c>
      <c r="J93" s="3" t="s">
        <v>5</v>
      </c>
    </row>
    <row r="94" spans="1:10" x14ac:dyDescent="0.3">
      <c r="A94" s="3" t="s">
        <v>3</v>
      </c>
      <c r="B94" s="3" t="s">
        <v>4</v>
      </c>
      <c r="C94" s="3" t="s">
        <v>2</v>
      </c>
      <c r="D94" s="3" t="s">
        <v>3</v>
      </c>
      <c r="E94" s="3" t="s">
        <v>2</v>
      </c>
      <c r="F94" s="3" t="s">
        <v>4</v>
      </c>
      <c r="G94" s="3" t="s">
        <v>2</v>
      </c>
      <c r="H94" s="3" t="s">
        <v>2</v>
      </c>
      <c r="I94" s="3" t="s">
        <v>3</v>
      </c>
      <c r="J94" s="3" t="s">
        <v>5</v>
      </c>
    </row>
    <row r="95" spans="1:10" x14ac:dyDescent="0.3">
      <c r="A95" s="3" t="s">
        <v>3</v>
      </c>
      <c r="B95" s="3" t="s">
        <v>4</v>
      </c>
      <c r="C95" s="3" t="s">
        <v>2</v>
      </c>
      <c r="D95" s="3" t="s">
        <v>3</v>
      </c>
      <c r="E95" s="3" t="s">
        <v>2</v>
      </c>
      <c r="F95" s="3" t="s">
        <v>4</v>
      </c>
      <c r="G95" s="3" t="s">
        <v>2</v>
      </c>
      <c r="H95" s="3" t="s">
        <v>3</v>
      </c>
      <c r="I95" s="3" t="s">
        <v>2</v>
      </c>
      <c r="J95" s="3" t="s">
        <v>5</v>
      </c>
    </row>
    <row r="96" spans="1:10" x14ac:dyDescent="0.3">
      <c r="A96" s="3" t="s">
        <v>3</v>
      </c>
      <c r="B96" s="3" t="s">
        <v>4</v>
      </c>
      <c r="C96" s="3" t="s">
        <v>2</v>
      </c>
      <c r="D96" s="3" t="s">
        <v>3</v>
      </c>
      <c r="E96" s="3" t="s">
        <v>2</v>
      </c>
      <c r="F96" s="3" t="s">
        <v>4</v>
      </c>
      <c r="G96" s="3" t="s">
        <v>2</v>
      </c>
      <c r="H96" s="3" t="s">
        <v>4</v>
      </c>
      <c r="I96" s="3" t="s">
        <v>4</v>
      </c>
      <c r="J96" s="3" t="s">
        <v>5</v>
      </c>
    </row>
    <row r="97" spans="1:10" x14ac:dyDescent="0.3">
      <c r="A97" s="3" t="s">
        <v>3</v>
      </c>
      <c r="B97" s="3" t="s">
        <v>4</v>
      </c>
      <c r="C97" s="3" t="s">
        <v>2</v>
      </c>
      <c r="D97" s="3" t="s">
        <v>3</v>
      </c>
      <c r="E97" s="3" t="s">
        <v>3</v>
      </c>
      <c r="F97" s="3" t="s">
        <v>2</v>
      </c>
      <c r="G97" s="3" t="s">
        <v>2</v>
      </c>
      <c r="H97" s="3" t="s">
        <v>4</v>
      </c>
      <c r="I97" s="3" t="s">
        <v>2</v>
      </c>
      <c r="J97" s="3" t="s">
        <v>5</v>
      </c>
    </row>
    <row r="98" spans="1:10" x14ac:dyDescent="0.3">
      <c r="A98" s="3" t="s">
        <v>3</v>
      </c>
      <c r="B98" s="3" t="s">
        <v>4</v>
      </c>
      <c r="C98" s="3" t="s">
        <v>2</v>
      </c>
      <c r="D98" s="3" t="s">
        <v>3</v>
      </c>
      <c r="E98" s="3" t="s">
        <v>3</v>
      </c>
      <c r="F98" s="3" t="s">
        <v>2</v>
      </c>
      <c r="G98" s="3" t="s">
        <v>4</v>
      </c>
      <c r="H98" s="3" t="s">
        <v>2</v>
      </c>
      <c r="I98" s="3" t="s">
        <v>2</v>
      </c>
      <c r="J98" s="3" t="s">
        <v>5</v>
      </c>
    </row>
    <row r="99" spans="1:10" x14ac:dyDescent="0.3">
      <c r="A99" s="3" t="s">
        <v>3</v>
      </c>
      <c r="B99" s="3" t="s">
        <v>4</v>
      </c>
      <c r="C99" s="3" t="s">
        <v>2</v>
      </c>
      <c r="D99" s="3" t="s">
        <v>3</v>
      </c>
      <c r="E99" s="3" t="s">
        <v>3</v>
      </c>
      <c r="F99" s="3" t="s">
        <v>4</v>
      </c>
      <c r="G99" s="3" t="s">
        <v>2</v>
      </c>
      <c r="H99" s="3" t="s">
        <v>2</v>
      </c>
      <c r="I99" s="3" t="s">
        <v>2</v>
      </c>
      <c r="J99" s="3" t="s">
        <v>5</v>
      </c>
    </row>
    <row r="100" spans="1:10" x14ac:dyDescent="0.3">
      <c r="A100" s="3" t="s">
        <v>3</v>
      </c>
      <c r="B100" s="3" t="s">
        <v>4</v>
      </c>
      <c r="C100" s="3" t="s">
        <v>2</v>
      </c>
      <c r="D100" s="3" t="s">
        <v>3</v>
      </c>
      <c r="E100" s="3" t="s">
        <v>4</v>
      </c>
      <c r="F100" s="3" t="s">
        <v>2</v>
      </c>
      <c r="G100" s="3" t="s">
        <v>2</v>
      </c>
      <c r="H100" s="3" t="s">
        <v>3</v>
      </c>
      <c r="I100" s="3" t="s">
        <v>2</v>
      </c>
      <c r="J100" s="3" t="s">
        <v>5</v>
      </c>
    </row>
    <row r="101" spans="1:10" x14ac:dyDescent="0.3">
      <c r="A101" s="3" t="s">
        <v>3</v>
      </c>
      <c r="B101" s="3" t="s">
        <v>4</v>
      </c>
      <c r="C101" s="3" t="s">
        <v>2</v>
      </c>
      <c r="D101" s="3" t="s">
        <v>3</v>
      </c>
      <c r="E101" s="3" t="s">
        <v>4</v>
      </c>
      <c r="F101" s="3" t="s">
        <v>2</v>
      </c>
      <c r="G101" s="3" t="s">
        <v>4</v>
      </c>
      <c r="H101" s="3" t="s">
        <v>4</v>
      </c>
      <c r="I101" s="3" t="s">
        <v>2</v>
      </c>
      <c r="J101" s="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FB60-B4CD-40DA-93D7-B21891E2AB8C}">
  <dimension ref="A1:J11"/>
  <sheetViews>
    <sheetView workbookViewId="0"/>
  </sheetViews>
  <sheetFormatPr baseColWidth="10" defaultRowHeight="15.6" x14ac:dyDescent="0.3"/>
  <cols>
    <col min="1" max="1" width="17.5546875" style="2" bestFit="1" customWidth="1"/>
    <col min="2" max="2" width="21.44140625" style="2" bestFit="1" customWidth="1"/>
    <col min="3" max="3" width="19.109375" style="2" bestFit="1" customWidth="1"/>
    <col min="4" max="4" width="21.33203125" style="2" bestFit="1" customWidth="1"/>
    <col min="5" max="5" width="25.21875" style="2" bestFit="1" customWidth="1"/>
    <col min="6" max="6" width="22.77734375" style="2" bestFit="1" customWidth="1"/>
    <col min="7" max="7" width="21.77734375" style="2" bestFit="1" customWidth="1"/>
    <col min="8" max="8" width="25.6640625" style="2" bestFit="1" customWidth="1"/>
    <col min="9" max="9" width="23.21875" style="2" bestFit="1" customWidth="1"/>
    <col min="10" max="16384" width="11.5546875" style="2"/>
  </cols>
  <sheetData>
    <row r="1" spans="1:10" ht="17.399999999999999" x14ac:dyDescent="0.3">
      <c r="A1" s="4" t="s">
        <v>0</v>
      </c>
      <c r="B1" s="4" t="s">
        <v>13</v>
      </c>
      <c r="C1" s="4" t="s">
        <v>12</v>
      </c>
      <c r="D1" s="4" t="s">
        <v>11</v>
      </c>
      <c r="E1" s="4" t="s">
        <v>10</v>
      </c>
      <c r="F1" s="4" t="s">
        <v>9</v>
      </c>
      <c r="G1" s="4" t="s">
        <v>8</v>
      </c>
      <c r="H1" s="4" t="s">
        <v>7</v>
      </c>
      <c r="I1" s="4" t="s">
        <v>6</v>
      </c>
    </row>
    <row r="2" spans="1:10" x14ac:dyDescent="0.3">
      <c r="A2" s="3" t="s">
        <v>3</v>
      </c>
      <c r="B2" s="3" t="s">
        <v>3</v>
      </c>
      <c r="C2" s="3" t="s">
        <v>4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4</v>
      </c>
      <c r="I2" s="3" t="s">
        <v>3</v>
      </c>
      <c r="J2" s="3"/>
    </row>
    <row r="3" spans="1:10" x14ac:dyDescent="0.3">
      <c r="A3" s="3" t="s">
        <v>3</v>
      </c>
      <c r="B3" s="3" t="s">
        <v>3</v>
      </c>
      <c r="C3" s="3" t="s">
        <v>4</v>
      </c>
      <c r="D3" s="3" t="s">
        <v>2</v>
      </c>
      <c r="E3" s="3" t="s">
        <v>2</v>
      </c>
      <c r="F3" s="3" t="s">
        <v>2</v>
      </c>
      <c r="G3" s="3" t="s">
        <v>3</v>
      </c>
      <c r="H3" s="3" t="s">
        <v>2</v>
      </c>
      <c r="I3" s="3" t="s">
        <v>4</v>
      </c>
      <c r="J3" s="3"/>
    </row>
    <row r="4" spans="1:10" x14ac:dyDescent="0.3">
      <c r="A4" s="3" t="s">
        <v>3</v>
      </c>
      <c r="B4" s="3" t="s">
        <v>3</v>
      </c>
      <c r="C4" s="3" t="s">
        <v>4</v>
      </c>
      <c r="D4" s="3" t="s">
        <v>2</v>
      </c>
      <c r="E4" s="3" t="s">
        <v>2</v>
      </c>
      <c r="F4" s="3" t="s">
        <v>2</v>
      </c>
      <c r="G4" s="3" t="s">
        <v>3</v>
      </c>
      <c r="H4" s="3" t="s">
        <v>4</v>
      </c>
      <c r="I4" s="3" t="s">
        <v>2</v>
      </c>
      <c r="J4" s="3"/>
    </row>
    <row r="5" spans="1:10" x14ac:dyDescent="0.3">
      <c r="A5" s="3" t="s">
        <v>3</v>
      </c>
      <c r="B5" s="3" t="s">
        <v>3</v>
      </c>
      <c r="C5" s="3" t="s">
        <v>4</v>
      </c>
      <c r="D5" s="3" t="s">
        <v>2</v>
      </c>
      <c r="E5" s="3" t="s">
        <v>2</v>
      </c>
      <c r="F5" s="3" t="s">
        <v>2</v>
      </c>
      <c r="G5" s="3" t="s">
        <v>4</v>
      </c>
      <c r="H5" s="3" t="s">
        <v>2</v>
      </c>
      <c r="I5" s="3" t="s">
        <v>3</v>
      </c>
      <c r="J5" s="3"/>
    </row>
    <row r="6" spans="1:10" x14ac:dyDescent="0.3">
      <c r="A6" s="3" t="s">
        <v>3</v>
      </c>
      <c r="B6" s="3" t="s">
        <v>3</v>
      </c>
      <c r="C6" s="3" t="s">
        <v>4</v>
      </c>
      <c r="D6" s="3" t="s">
        <v>2</v>
      </c>
      <c r="E6" s="3" t="s">
        <v>2</v>
      </c>
      <c r="F6" s="3" t="s">
        <v>2</v>
      </c>
      <c r="G6" s="3" t="s">
        <v>4</v>
      </c>
      <c r="H6" s="3" t="s">
        <v>3</v>
      </c>
      <c r="I6" s="3" t="s">
        <v>2</v>
      </c>
      <c r="J6" s="3"/>
    </row>
    <row r="7" spans="1:10" x14ac:dyDescent="0.3">
      <c r="A7" s="3" t="s">
        <v>2</v>
      </c>
      <c r="B7" s="3" t="s">
        <v>4</v>
      </c>
      <c r="C7" s="3" t="s">
        <v>4</v>
      </c>
      <c r="D7" s="3" t="s">
        <v>3</v>
      </c>
      <c r="E7" s="3" t="s">
        <v>3</v>
      </c>
      <c r="F7" s="3" t="s">
        <v>3</v>
      </c>
      <c r="G7" s="3" t="s">
        <v>4</v>
      </c>
      <c r="H7" s="3" t="s">
        <v>2</v>
      </c>
      <c r="I7" s="3" t="s">
        <v>2</v>
      </c>
      <c r="J7" s="3"/>
    </row>
    <row r="8" spans="1:10" x14ac:dyDescent="0.3">
      <c r="A8" s="3" t="s">
        <v>2</v>
      </c>
      <c r="B8" s="3" t="s">
        <v>4</v>
      </c>
      <c r="C8" s="3" t="s">
        <v>4</v>
      </c>
      <c r="D8" s="3" t="s">
        <v>4</v>
      </c>
      <c r="E8" s="3" t="s">
        <v>2</v>
      </c>
      <c r="F8" s="3" t="s">
        <v>2</v>
      </c>
      <c r="G8" s="3" t="s">
        <v>3</v>
      </c>
      <c r="H8" s="3" t="s">
        <v>3</v>
      </c>
      <c r="I8" s="3" t="s">
        <v>3</v>
      </c>
      <c r="J8" s="3"/>
    </row>
    <row r="9" spans="1:10" x14ac:dyDescent="0.3">
      <c r="A9" s="3" t="s">
        <v>3</v>
      </c>
      <c r="B9" s="3" t="s">
        <v>2</v>
      </c>
      <c r="C9" s="3" t="s">
        <v>2</v>
      </c>
      <c r="D9" s="3" t="s">
        <v>2</v>
      </c>
      <c r="E9" s="3" t="s">
        <v>2</v>
      </c>
      <c r="F9" s="3" t="s">
        <v>4</v>
      </c>
      <c r="G9" s="3" t="s">
        <v>3</v>
      </c>
      <c r="H9" s="3" t="s">
        <v>3</v>
      </c>
      <c r="I9" s="3" t="s">
        <v>3</v>
      </c>
      <c r="J9" s="3"/>
    </row>
    <row r="10" spans="1:10" x14ac:dyDescent="0.3">
      <c r="A10" s="3" t="s">
        <v>3</v>
      </c>
      <c r="B10" s="3" t="s">
        <v>2</v>
      </c>
      <c r="C10" s="3" t="s">
        <v>2</v>
      </c>
      <c r="D10" s="3" t="s">
        <v>2</v>
      </c>
      <c r="E10" s="3" t="s">
        <v>3</v>
      </c>
      <c r="F10" s="3" t="s">
        <v>2</v>
      </c>
      <c r="G10" s="3" t="s">
        <v>3</v>
      </c>
      <c r="H10" s="3" t="s">
        <v>4</v>
      </c>
      <c r="I10" s="3" t="s">
        <v>3</v>
      </c>
      <c r="J10" s="3"/>
    </row>
    <row r="11" spans="1:10" x14ac:dyDescent="0.3">
      <c r="A11" s="3" t="s">
        <v>3</v>
      </c>
      <c r="B11" s="3" t="s">
        <v>2</v>
      </c>
      <c r="C11" s="3" t="s">
        <v>2</v>
      </c>
      <c r="D11" s="3" t="s">
        <v>2</v>
      </c>
      <c r="E11" s="3" t="s">
        <v>3</v>
      </c>
      <c r="F11" s="3" t="s">
        <v>2</v>
      </c>
      <c r="G11" s="3" t="s">
        <v>4</v>
      </c>
      <c r="H11" s="3" t="s">
        <v>3</v>
      </c>
      <c r="I11" s="3" t="s">
        <v>3</v>
      </c>
      <c r="J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TRAIN</vt:lpstr>
      <vt:lpstr>TEST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 Ruiz</dc:creator>
  <cp:lastModifiedBy>Fer Ruiz</cp:lastModifiedBy>
  <dcterms:created xsi:type="dcterms:W3CDTF">2026-02-16T04:22:14Z</dcterms:created>
  <dcterms:modified xsi:type="dcterms:W3CDTF">2026-02-18T13:47:52Z</dcterms:modified>
</cp:coreProperties>
</file>